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breakdown" sheetId="1" r:id="rId5"/>
    <sheet state="visible" name="10-point risk matrix" sheetId="2" r:id="rId6"/>
    <sheet state="visible" name="RPN ranked Components " sheetId="3" r:id="rId7"/>
    <sheet state="visible" name="SCADA FME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">
      <text>
        <t xml:space="preserve">No effect on turbine operation, safety, or performance</t>
      </text>
    </comment>
    <comment authorId="0" ref="S3">
      <text>
        <t xml:space="preserve">Failure could occur under exceptional circumstances.</t>
      </text>
    </comment>
    <comment authorId="0" ref="P4">
      <text>
        <t xml:space="preserve">Minimal impact; barely measurable loss in efficiency or production</t>
      </text>
    </comment>
    <comment authorId="0" ref="S4">
      <text>
        <t xml:space="preserve">Failure could occur under exceptional circumstances.</t>
      </text>
    </comment>
    <comment authorId="0" ref="P5">
      <text>
        <t xml:space="preserve">Slight performance loss; no damage or safety concern.</t>
      </text>
    </comment>
    <comment authorId="0" ref="S5">
      <text>
        <t xml:space="preserve">Rare event; may occur once in several years.</t>
      </text>
    </comment>
    <comment authorId="0" ref="P6">
      <text>
        <t xml:space="preserve">Noticeable performance reduction; simple repair required.</t>
      </text>
    </comment>
    <comment authorId="0" ref="S6">
      <text>
        <t xml:space="preserve">Occasional minor failures observed in long-term operation.</t>
      </text>
    </comment>
    <comment authorId="0" ref="S7">
      <text>
        <t xml:space="preserve">Failure could occur under certain operating or environmental conditions.</t>
      </text>
    </comment>
    <comment authorId="0" ref="P8">
      <text>
        <t xml:space="preserve">Minor downtime or component wear requiring planned maintenance</t>
      </text>
    </comment>
    <comment authorId="0" ref="S8">
      <text>
        <t xml:space="preserve">Occurs occasionally; some history of similar failures.</t>
      </text>
    </comment>
    <comment authorId="0" ref="P9">
      <text>
        <t xml:space="preserve">Production loss; moderate repair cost or short downtime</t>
      </text>
    </comment>
    <comment authorId="0" ref="S9">
      <text>
        <t xml:space="preserve">Happens periodically; recurring issue in field data.</t>
      </text>
    </comment>
    <comment authorId="0" ref="P10">
      <text>
        <t xml:space="preserve">Substantial downtime; critical component replacement needed</t>
      </text>
    </comment>
    <comment authorId="0" ref="S10">
      <text>
        <t xml:space="preserve">High chance of occurrence; frequently seen in fleet history.</t>
      </text>
    </comment>
    <comment authorId="0" ref="P11">
      <text>
        <t xml:space="preserve">Extended downtime; high repair cost; possible safety implications.</t>
      </text>
    </comment>
    <comment authorId="0" ref="S11">
      <text>
        <t xml:space="preserve">Expected to occur regularly without corrective measures.</t>
      </text>
    </comment>
    <comment authorId="0" ref="P12">
      <text>
        <t xml:space="preserve">Major loss of generation; serious safety or structural risk</t>
      </text>
    </comment>
    <comment authorId="0" ref="S12">
      <text>
        <t xml:space="preserve">Failure will occur repeatedly or continuously if not addressed.</t>
      </text>
    </comment>
  </commentList>
</comments>
</file>

<file path=xl/sharedStrings.xml><?xml version="1.0" encoding="utf-8"?>
<sst xmlns="http://schemas.openxmlformats.org/spreadsheetml/2006/main" count="627" uniqueCount="413">
  <si>
    <t>System</t>
  </si>
  <si>
    <t>Components</t>
  </si>
  <si>
    <t xml:space="preserve">Failure </t>
  </si>
  <si>
    <t xml:space="preserve">Severity &amp; Justification </t>
  </si>
  <si>
    <t xml:space="preserve">Failure Cause </t>
  </si>
  <si>
    <t xml:space="preserve">Root Cause </t>
  </si>
  <si>
    <t xml:space="preserve">Occurance &amp; Justification </t>
  </si>
  <si>
    <t>Detection &amp; Justification</t>
  </si>
  <si>
    <t xml:space="preserve">RPN </t>
  </si>
  <si>
    <t xml:space="preserve">Risk Level </t>
  </si>
  <si>
    <t>Rotor System</t>
  </si>
  <si>
    <t>Blades</t>
  </si>
  <si>
    <t xml:space="preserve"> Leading edge erosion</t>
  </si>
  <si>
    <t>Blade failure can lead to catastrophic damage.</t>
  </si>
  <si>
    <t>rain, hail, sand, and dust erode the blade’s outer coating</t>
  </si>
  <si>
    <t>High-speed rain/particle impact during normal operation, especially at blade tip speeds of 60–80 m/s</t>
  </si>
  <si>
    <t xml:space="preserve">moderate–high. Field studies report visible leading-edge erosion on ~20–30 % of blades within 5 years, especially in wet or coastal climates. </t>
  </si>
  <si>
    <t>detection can be difficult (internal cracks)</t>
  </si>
  <si>
    <t>High</t>
  </si>
  <si>
    <t>Blade root</t>
  </si>
  <si>
    <t>Fatigue cracking in root bolts or laminates</t>
  </si>
  <si>
    <t>Critical structural failure point;</t>
  </si>
  <si>
    <t>Repeated cyclic loading from wind gusts causes micro-cracks in composite laminates or root bolts/flanges</t>
  </si>
  <si>
    <t>High‐cycle fatigue from turbulence, frequent start/stop cycles, and yaw misalignment</t>
  </si>
  <si>
    <t>Probability of data:Moderate (~10–15 % over 15–20 yr life), higher in sites with high turbulence intensity or older bonding designs</t>
  </si>
  <si>
    <t>near-impossible to detect early without advanced tech</t>
  </si>
  <si>
    <t>Pitch mechanism (hydraulic/electric actuators, bearings)</t>
  </si>
  <si>
    <t>Oil contamination</t>
  </si>
  <si>
    <t xml:space="preserve">Failure affects wind capture and load control. </t>
  </si>
  <si>
    <t>sticky servo/pilot valves, slow or drifting pitch, accumulator/seal wear</t>
  </si>
  <si>
    <t>Inadequate filtration or overdue filters; breached seals/breathers letting dust/moist air in; condensation from daily temp swings; dirty fill/transfer practices; wrong oil or mixed oils after repairs</t>
  </si>
  <si>
    <t>Probability of Data: Most common hydraulic issue. Expect ~40–60% of pitch-hydraulic faults to involve contamination at some point;</t>
  </si>
  <si>
    <t xml:space="preserve">Moderate detectability via SCADA or vibration monitoring. </t>
  </si>
  <si>
    <t>Medium</t>
  </si>
  <si>
    <t>Lightning protection system</t>
  </si>
  <si>
    <t>Receptor wear or damage</t>
  </si>
  <si>
    <t>Failure can cause blade burns or fire.</t>
  </si>
  <si>
    <t>Repeated lightning strikes or erosion from rain, hail, and UV exposure degrade the receptor surface or loosen hardware</t>
  </si>
  <si>
    <t>Natural strike frequency, inadequate material hardness, poor maintenance access</t>
  </si>
  <si>
    <t>Probability of Data: High in thunderstorm regions (20–40 % of blades show receptor wear within 5 years).</t>
  </si>
  <si>
    <t>detection is usually post-failure.</t>
  </si>
  <si>
    <t>Hub</t>
  </si>
  <si>
    <t>Structural cracking of hub casting/welds</t>
  </si>
  <si>
    <t>Failure is severe</t>
  </si>
  <si>
    <t>High cyclic bending loads from gusts or rotor imbalance produce micro-cracks in the cast or welded hub body</t>
  </si>
  <si>
    <t>Casting porosity, residual welding stresses, or operating beyond design wind regime</t>
  </si>
  <si>
    <t>Probability of Data: Low–Moderate (~3–8 % over 20-yr life); higher on older designs or sites with extreme turbulence.</t>
  </si>
  <si>
    <t>Detection is challenging without teardown</t>
  </si>
  <si>
    <t>Pitch drives</t>
  </si>
  <si>
    <t>Gear wear or pitting</t>
  </si>
  <si>
    <t xml:space="preserve">Drives blade pitch—failure limits control. </t>
  </si>
  <si>
    <t>Continuous oscillatory motion of drive gearbox during frequent pitch corrections</t>
  </si>
  <si>
    <t>Inadequate or degraded grease/oil, misalignment of motor and ring gear, overload from abrupt braking or high turbulence</t>
  </si>
  <si>
    <t>Probability of Data: Moderate (~15–25 % over 10-15 yrs) depending on turbulence and lubrication quality.</t>
  </si>
  <si>
    <t xml:space="preserve">Easier to detect than internal pitch mechanism faults. </t>
  </si>
  <si>
    <t>Nacelle (Main Housing)</t>
  </si>
  <si>
    <t>Main shaft (low-speed shaft)</t>
  </si>
  <si>
    <t>Bearing surface fatigue</t>
  </si>
  <si>
    <t xml:space="preserve">Failure leads to total loss of drivetrain functionality. </t>
  </si>
  <si>
    <t>High cyclic loads and bending moments from rotor torque</t>
  </si>
  <si>
    <t>Misalignment between main bearing and gearbox, inadequate or degraded lubrication film, contamination of grease/oil, high turbulence events</t>
  </si>
  <si>
    <t xml:space="preserve"> Moderate (~15–25 % over 20-yr life); higher in high-turbulence or offshore sites.</t>
  </si>
  <si>
    <t xml:space="preserve"> hard to detect fatigue early.</t>
  </si>
  <si>
    <t xml:space="preserve">High </t>
  </si>
  <si>
    <t>Bearings</t>
  </si>
  <si>
    <t>Main shaft (main bearing) surface pitting &amp; spalling</t>
  </si>
  <si>
    <t xml:space="preserve">High wear-and-tear component. </t>
  </si>
  <si>
    <t>Rolling contact fatigue under high cyclic loads</t>
  </si>
  <si>
    <t>Contaminated or degraded lubricant, misalignment between rotor hub and gearbox, overload during extreme winds or emergency stops</t>
  </si>
  <si>
    <t xml:space="preserve"> Probability of Data: Moderate (~10–20 % over 20-yr life); higher in turbines with high turbulence or poor alignment control</t>
  </si>
  <si>
    <t>Detectable via vibration analysis, but still a leading failure cause.</t>
  </si>
  <si>
    <t>Gearbox (planetary, helical stages)</t>
  </si>
  <si>
    <t>Gear tooth pitting / micropitting</t>
  </si>
  <si>
    <t>Catastrophic if it fails;</t>
  </si>
  <si>
    <t>High contact stress from continuous torque transmission</t>
  </si>
  <si>
    <t>Inadequate lubrication film, misalignment of planetary or helical gears, contaminated oil increasing wear particles</t>
  </si>
  <si>
    <t>Probability of Data: High (~30–40 % over 20-year life)—most common gearbox failure mode</t>
  </si>
  <si>
    <t>some detection possible (noise, oil debris).</t>
  </si>
  <si>
    <t>Gearbox lubrication system</t>
  </si>
  <si>
    <t>Oil pump failure</t>
  </si>
  <si>
    <t>Indirect failure of gearbox if oil quality/flow is compromised.</t>
  </si>
  <si>
    <t>Loss of oil flow or pressure</t>
  </si>
  <si>
    <t>Pump motor burnout, bearing wear, cavitation from clogged suction strainer, low oil level, or air ingress</t>
  </si>
  <si>
    <t xml:space="preserve"> Probability of Data: Moderate (~10–15 % over 10 yrs); higher if oil cleanliness is poor</t>
  </si>
  <si>
    <t>Has pressure, temperature, flow, and oil-quality sensors that detect most issues early.</t>
  </si>
  <si>
    <t>Low</t>
  </si>
  <si>
    <t>Direct-drive system (if applicable)</t>
  </si>
  <si>
    <t>Generator bearing wear or false brinelling</t>
  </si>
  <si>
    <t xml:space="preserve">Very severe if failed. Less complex than gearbox but still hard to repair. Fewer moving parts. </t>
  </si>
  <si>
    <t>High radial/axial loads and vibration during low-speed rotation</t>
  </si>
  <si>
    <t>Insufficient or degraded grease, contamination from moisture, long standstill periods causing micro-movement</t>
  </si>
  <si>
    <t>Probability of Data: Moderate (~15–25 % over 15-20 yrs), higher in offshore/humid climates</t>
  </si>
  <si>
    <t>Fewer moving parts; failures tracked via vibration &amp; temperature monitoring but subtle electrical faults can be harder to detect.</t>
  </si>
  <si>
    <t>Generator (SCIG, DFIG, PMSG)</t>
  </si>
  <si>
    <t>Stator winding insulation breakdown</t>
  </si>
  <si>
    <t>Moderate severity unless fire occurs.</t>
  </si>
  <si>
    <t>Overheating, electrical surges, or partial discharge in high-voltage coils</t>
  </si>
  <si>
    <t xml:space="preserve"> Prolonged thermal stress from high reactive power or poor cooling, contamination with moisture/oil, voltage transients during switching or lightning events</t>
  </si>
  <si>
    <t>Probability of Data: Moderate (~10–20 % over 15–20 yrs), higher in humid or offshore climates.</t>
  </si>
  <si>
    <t xml:space="preserve">SCADA and thermal sensors help detect issues. </t>
  </si>
  <si>
    <t>Brake system (disc, hydraulic, emergency)</t>
  </si>
  <si>
    <t>Disc pad wear or glazing</t>
  </si>
  <si>
    <t>Failure in emergency braking is dangerous.</t>
  </si>
  <si>
    <t>Repeated braking during high-wind stops and service operations</t>
  </si>
  <si>
    <t>Normal friction wear; misalignment of caliper; excessive heat from long braking intervals</t>
  </si>
  <si>
    <t>Probability of Data: High (~30–40 % pad replacement required within 3–5 yrs) depending on site wind regime</t>
  </si>
  <si>
    <t>detection isn’t always immediate.</t>
  </si>
  <si>
    <t>Yaw system (motors, bearings, brakes)</t>
  </si>
  <si>
    <t>overheating or winding failure</t>
  </si>
  <si>
    <t xml:space="preserve">Failure causes misalignment → efficiency loss or structural stress. Some SCADA data can help. </t>
  </si>
  <si>
    <t>Excessive duty cycle when tracking rapidly changing wind direction</t>
  </si>
  <si>
    <t>Cooling fan/filter clogging, high ambient nacelle temperatures, gearbox drag increasing torque demand</t>
  </si>
  <si>
    <t>Probability of Data: Moderate (~10–20 % over 15 yrs) depending on climate and service intervals</t>
  </si>
  <si>
    <t>Yaw errors detected by position sensors &amp; SCADA, but bearing wear is not easily caught early.</t>
  </si>
  <si>
    <t>Cooling system (air/liquid, heat exchangers)</t>
  </si>
  <si>
    <t xml:space="preserve"> Fan motor failure (air-cooling system)</t>
  </si>
  <si>
    <t xml:space="preserve">Affects generator/gearbox longevity.  </t>
  </si>
  <si>
    <t>Overheating of generator, gearbox, or converter due to loss of airflow</t>
  </si>
  <si>
    <t>Fan motor bearing wear, electrical short, clogged filters increasing current draw</t>
  </si>
  <si>
    <t>Probability of Data: Moderate (~15–25 % over 10 yrs)—higher in dusty or offshore environments</t>
  </si>
  <si>
    <t>Detectable with thermal monitoring.</t>
  </si>
  <si>
    <t>Lubrication system (oil pumps, filters)</t>
  </si>
  <si>
    <t>Pump wear or loss of pressure</t>
  </si>
  <si>
    <t xml:space="preserve">Indirectly causes drivetrain wear.  </t>
  </si>
  <si>
    <t>Continuous high-load operation and contamination of lubricant</t>
  </si>
  <si>
    <t>Abrasive particles or water in oil; running dry due to low oil level; cavitation from restricted suction; misalignment of pump shaft</t>
  </si>
  <si>
    <t>Probability of Data: Moderate (~10–20 % over 10–15 yrs) depending on oil cleanliness and pump design</t>
  </si>
  <si>
    <t>Detection via pressure/flow/oil sensors.</t>
  </si>
  <si>
    <t>Sensors (vibration, temperature, strain, oil quality)</t>
  </si>
  <si>
    <t>Vibration sensor (accelerometer) drift or failure</t>
  </si>
  <si>
    <t xml:space="preserve">Their failure reduces system observability → hidden failures. Often overlooked but risky. </t>
  </si>
  <si>
    <t>Continuous high-frequency vibration and temperature cycling</t>
  </si>
  <si>
    <t>Piezoelectric element fatigue, loose mounting, connector corrosion, or water ingress</t>
  </si>
  <si>
    <t>Probability of Data: Moderate (~15–25 % over 10 yrs) depending on vibration severity and humidity</t>
  </si>
  <si>
    <t>Sensors are self-monitored; failure is usually detected by signal loss or anomaly flags.</t>
  </si>
  <si>
    <t>Tower System</t>
  </si>
  <si>
    <t>Tower structure (steel, concrete, hybrid, lattice)</t>
  </si>
  <si>
    <t>Fatigue cracking in steel shell or flange welds</t>
  </si>
  <si>
    <t>Catastrophic failure if structural collapse occurs (entire turbine loss).</t>
  </si>
  <si>
    <t>Cyclic loading from wind gusts, rotor imbalance, and start/stop operations</t>
  </si>
  <si>
    <t>High turbulence, inadequate weld quality, stress concentrations at door openings or flange joints</t>
  </si>
  <si>
    <t>Probability of Data: Moderate (~10–15 % over 20 years) depending on turbulence class and weld quality</t>
  </si>
  <si>
    <t>Crack formation, fatigue, or corrosion progress slowly and often requires visual inspection to detect.</t>
  </si>
  <si>
    <t>Internal ladders and safety systems</t>
  </si>
  <si>
    <t>Ladder rung or rail fatigue cracking</t>
  </si>
  <si>
    <t>Failure can cause complete turbine loss or tilt.</t>
  </si>
  <si>
    <t>Repeated climbing loads and tower vibration over years of service</t>
  </si>
  <si>
    <t>Weld defects, material fatigue, or corrosion at weld joints and bolt connections</t>
  </si>
  <si>
    <t>Probability of Data: Low–Moderate (~5–10 % over 20 yrs), higher in high-vibration or offshore environments</t>
  </si>
  <si>
    <t>Failures (corrosion, loose mounts) are rarely monitored electronically; detected only by manual inspection.</t>
  </si>
  <si>
    <t>Service lift</t>
  </si>
  <si>
    <t>Hoist motor overheating or winding failure</t>
  </si>
  <si>
    <t xml:space="preserve">Affects technician access and maintenance efficiency, not turbine operation. </t>
  </si>
  <si>
    <t>Continuous or overloaded operation of the lift motor</t>
  </si>
  <si>
    <t>Excess passenger/cargo weight, frequent starts/stops, blocked ventilation, or worn bearings increasing motor load</t>
  </si>
  <si>
    <t>Probability of Data: Moderate (~10–20 % over 10 yrs) depending on duty cycle and climate</t>
  </si>
  <si>
    <t>Electrical faults often monitored, but mechanical cable/wear failures rely on inspection.</t>
  </si>
  <si>
    <t>Cable trays</t>
  </si>
  <si>
    <t>Cable insulation damage / chafing</t>
  </si>
  <si>
    <t xml:space="preserve">Failure (e.g., broken rung, safety rail malfunction) can cause injury or rescue issues.  </t>
  </si>
  <si>
    <t>Continuous vibration of the tower and oscillation of the power/control cables inside the tray</t>
  </si>
  <si>
    <t>Sharp tray edges, missing grommets, improper cable tie spacing, and insufficient slack to absorb movement</t>
  </si>
  <si>
    <t>Probability of Data: High (~30–40 % of turbines within 10 yrs) if trays are not routinely inspected in high-vibration sites</t>
  </si>
  <si>
    <t>No real-time monitoring; physical damage detected only during inspection.</t>
  </si>
  <si>
    <t>Platforms/rest stations</t>
  </si>
  <si>
    <t>Corrosion of platform grating/ rails/ladder connections</t>
  </si>
  <si>
    <t>Structural or integrity issues could cause minor injuries or hinder access;</t>
  </si>
  <si>
    <t>Condensation, humidity inside the tower, salt spray (offshore/coastal), leaking hatches</t>
  </si>
  <si>
    <t>Inadequate surface coating or damaged galvanization; insufficient ventilation; standing water</t>
  </si>
  <si>
    <t>Probability of Data: Moderate (~20–30 % over 10 years onshore, 40–50 % offshore)</t>
  </si>
  <si>
    <t>Static structures; no sensors. Issues like rust or loosened bolts require inspection.</t>
  </si>
  <si>
    <t>Tower lighting (aviation compliance)</t>
  </si>
  <si>
    <t>LED/Beacon Lamp Burnout or Dimming</t>
  </si>
  <si>
    <t xml:space="preserve">Failure could lead to cable damage or fire risk, but not catastrophic; </t>
  </si>
  <si>
    <t>Aging of LED modules or xenon flash tubes</t>
  </si>
  <si>
    <t>Normal lumen depreciation, power surges, or thermal stress from poor heat dissipation</t>
  </si>
  <si>
    <t>Probability of Data: Moderate (~15–25 % over 5–7 yrs) depending on environment and operating hours</t>
  </si>
  <si>
    <t>Lighting has failure alarms and redundant circuits.</t>
  </si>
  <si>
    <t>Foundation (gravity, pile, monopile, jacket, tripod, floating)</t>
  </si>
  <si>
    <t xml:space="preserve">Corrosion of steel components </t>
  </si>
  <si>
    <t xml:space="preserve">Critical — any settlement, cracking, or failure leads to turbine collapse or decommissioning </t>
  </si>
  <si>
    <t>Continuous exposure to seawater and oxygen promotes electrochemical attack</t>
  </si>
  <si>
    <t>Damaged protective coatings, depleted cathodic protection (anodes), poor paint application, or coating holidays</t>
  </si>
  <si>
    <t>Probability of Data: High offshore (≈40–60% show measurable corrosion within 10 yrs); lower onshore gravity foundations.</t>
  </si>
  <si>
    <t>Failure modes like soil interaction, corrosion, scour often not detected until structural inspections</t>
  </si>
  <si>
    <t>Electrical System</t>
  </si>
  <si>
    <t>Power electronics (converters, rectifiers, inverters)</t>
  </si>
  <si>
    <t xml:space="preserve"> IGBT/Power transistor failure</t>
  </si>
  <si>
    <t xml:space="preserve">A failure leads to loss of power conversion and immediate turbine shutdown; high cost and downtime. </t>
  </si>
  <si>
    <t>Over-current or over-voltage during grid faults or switching transients.</t>
  </si>
  <si>
    <t>Lightning strikes, poor surge suppression, inadequate thermal management, or control software malfunction</t>
  </si>
  <si>
    <t>Probability of Data: Moderate (~10–20 % over 10 yrs) depending on site lightning incidence and grid quality.</t>
  </si>
  <si>
    <t>Thermal sensors and fault codes detect many issues, but some IGBT failures occur catastrophically.</t>
  </si>
  <si>
    <t>Control boards</t>
  </si>
  <si>
    <t>Component overheating or burnout</t>
  </si>
  <si>
    <t xml:space="preserve">Can cause control or communication loss but may be isolated or redundantly managed. </t>
  </si>
  <si>
    <t>High ambient nacelle temperature, poor ventilation, or overloaded circuits.</t>
  </si>
  <si>
    <t>Clogged filters or failed cooling fans; undersized power supply; dust accumulation acting as an insulator.</t>
  </si>
  <si>
    <t>Probability of Data: Moderate (~10–20 % over 10 yrs), higher in hot or dusty climates.</t>
  </si>
  <si>
    <t>Self-monitoring and fault codes catch many failures</t>
  </si>
  <si>
    <t>Transformer (step-up, nacelle or tower base)</t>
  </si>
  <si>
    <t>Insulation breakdown / winding short</t>
  </si>
  <si>
    <t xml:space="preserve">Catastrophic — complete turbine downtime and possible fire hazard; costly to replace. </t>
  </si>
  <si>
    <t>Electrical overstress or thermal aging of winding insulation</t>
  </si>
  <si>
    <t>Overvoltage from lightning or switching surges, partial discharge from moisture, long-term thermal degradation</t>
  </si>
  <si>
    <t>Probability of Data: Moderate (~10–20 % over 15–20 yrs); higher in humid/offshore environments.</t>
  </si>
  <si>
    <t>Thermal and oil sensors detect some issues, but winding insulation faults may go unnoticed</t>
  </si>
  <si>
    <t>Switchgear (circuit breakers, disconnect switches)</t>
  </si>
  <si>
    <t>Contact wear / erosion</t>
  </si>
  <si>
    <t xml:space="preserve">Failure can isolate turbine or cause electrical faults; moderate-to-high repair time. </t>
  </si>
  <si>
    <t>High number of switching operations and normal arcing during load interruption.</t>
  </si>
  <si>
    <t>Frequent breaker operations from grid disturbances, capacitor switching, or excessive load cycling.</t>
  </si>
  <si>
    <t>Probability of Data: Moderate (~15–25 % within 10 yrs) depending on breaker duty cycle.</t>
  </si>
  <si>
    <t>Most failures detected by trip signals or SCADA alarms.</t>
  </si>
  <si>
    <t xml:space="preserve">Low </t>
  </si>
  <si>
    <t>Cabling (high-voltage, control, fiber optic)</t>
  </si>
  <si>
    <t>High-voltage (HV) power cable insulation breakdown</t>
  </si>
  <si>
    <t xml:space="preserve">Failure may cause data loss or local electrical issues but usually not catastrophic if isolated. </t>
  </si>
  <si>
    <t xml:space="preserve"> Electrical stress, partial discharge, or moisture ingress at terminations.</t>
  </si>
  <si>
    <t xml:space="preserve"> Age-related insulation degradation, poor cable routing causing bending radius violations, or damaged sheath from vibration/chafing.</t>
  </si>
  <si>
    <t>Probability of Data: Moderate (~10–20 % over 20 yrs)—higher in humid/coastal climates or turbines with frequent yaw movement.</t>
  </si>
  <si>
    <t>Shorts/opens detected, but insulation degradation is hard to detect early</t>
  </si>
  <si>
    <t>Control &amp; Safety Systems</t>
  </si>
  <si>
    <t>SCADA system</t>
  </si>
  <si>
    <t>Communications loss between turbine/SCADA master</t>
  </si>
  <si>
    <t xml:space="preserve">Affects monitoring and data logging; turbine can still operate locally but with limited oversight. </t>
  </si>
  <si>
    <t>Physical cable damage, radio link outage, modem/router crash, fiber cut</t>
  </si>
  <si>
    <t>Environmental damage, poor routing, aging comms hardware, single point-of-failure network design</t>
  </si>
  <si>
    <t>Probability of Data: High — ~90% (SCADA/historian will usually show link loss quickly)</t>
  </si>
  <si>
    <t>Highly monitored; communication failures noticed instantly</t>
  </si>
  <si>
    <t>PLC (programmable logic controllers)</t>
  </si>
  <si>
    <t>CPU crash / hang / freeze</t>
  </si>
  <si>
    <t xml:space="preserve">Central control failure stops turbine operation; safety and performance compromised. </t>
  </si>
  <si>
    <t>Software bug, memory leak, corrupted task, unexpected input</t>
  </si>
  <si>
    <t>Poor software QA, outdated firmware, insufficient memory margin</t>
  </si>
  <si>
    <t>Probability of Data: High (~80–95%) — watchdog/heartbeat and restart logs usually recorded</t>
  </si>
  <si>
    <t>Programmable controllers self-test and flag most faults</t>
  </si>
  <si>
    <t>Remote monitoring &amp; communication modules</t>
  </si>
  <si>
    <t>Total communication loss (no data link)</t>
  </si>
  <si>
    <t xml:space="preserve">Loss of remote visibility but local turbine control remains functional. </t>
  </si>
  <si>
    <t>Cable cut, modem/router crash, antenna damage, power loss</t>
  </si>
  <si>
    <t>Environmental damage, poor routing, single-point-of-failure design</t>
  </si>
  <si>
    <t>Probability of Data: High (~85–95%) — heartbeats, data age alarms quickly visible in SCADA</t>
  </si>
  <si>
    <t>Signal issues detected quickly, but intermittent failures can be harder to detect.</t>
  </si>
  <si>
    <t>Anemometer</t>
  </si>
  <si>
    <t>Signal loss or dropout</t>
  </si>
  <si>
    <t xml:space="preserve">Inaccurate wind data affects turbine performance and safety systems (pitch/yaw control). </t>
  </si>
  <si>
    <t>Interruption of wind speed signal to turbine controller.</t>
  </si>
  <si>
    <t>Broken cables, connector corrosion, or slip-ring faults in the nacelle.</t>
  </si>
  <si>
    <t>Probability of Data: Moderate (~10–20 % within 5 yrs)</t>
  </si>
  <si>
    <t>Failure detected via signal loss or comparison to redundant sensors.</t>
  </si>
  <si>
    <t>Wind vane</t>
  </si>
  <si>
    <t>Signal drift or inaccurate wind direction</t>
  </si>
  <si>
    <t xml:space="preserve">Impacts yaw control accuracy but turbine can still operate with conservative fallback modes. </t>
  </si>
  <si>
    <t>Sensor aging or misalignment.</t>
  </si>
  <si>
    <t>UV degradation of plastic body, bearing wear, calibration drift in potentiometer/encoder.</t>
  </si>
  <si>
    <t>Probability of Data: High (~30–40 % after 5–7 years) without calibration program.</t>
  </si>
  <si>
    <t>Detected by inconsistency with other signals or yaw errors.</t>
  </si>
  <si>
    <t>Pitch control system</t>
  </si>
  <si>
    <t xml:space="preserve"> PLC/Controller fault</t>
  </si>
  <si>
    <t>Critical—failure can lead to overspeed or blade damage; turbine must shut down.</t>
  </si>
  <si>
    <t>Internal hardware fault, firmware bug, or watchdog reset.</t>
  </si>
  <si>
    <t>Component aging, power supply dips, or corrupted firmware.</t>
  </si>
  <si>
    <t xml:space="preserve"> Probability of Data: Moderate (~10–15 % over 10 years), higher in older fleets</t>
  </si>
  <si>
    <t>Blade-angle sensors and hydraulic pressures detect most faults.</t>
  </si>
  <si>
    <t>Yaw control system</t>
  </si>
  <si>
    <t>Yaw motor/drive overheating or burnout</t>
  </si>
  <si>
    <t xml:space="preserve">Improper alignment reduces energy yield and can cause structural stress or damage. </t>
  </si>
  <si>
    <t>Excessive current draw during high wind yawing or continuous correction.</t>
  </si>
  <si>
    <t>Poor ventilation in nacelle, clogged filters, motor bearing wear, misalignment of pinion with yaw gear.</t>
  </si>
  <si>
    <t>Probability of Data: Moderate (~10–15 % over 10 years), depending on actuation frequency.</t>
  </si>
  <si>
    <t>Position sensors detect errors but mechanical wear detection is weaker.</t>
  </si>
  <si>
    <t>Emergency stop buttons</t>
  </si>
  <si>
    <t>Contact wear or pitting</t>
  </si>
  <si>
    <t xml:space="preserve">Failure to engage during emergency is high-risk for personnel and equipment safety. </t>
  </si>
  <si>
    <t>Frequent actuations or arcing when interrupting control voltage.</t>
  </si>
  <si>
    <t>Mechanical wear of silver contacts; lack of arc suppression; poor contact material.</t>
  </si>
  <si>
    <t>Self-testing circuits detect most failures</t>
  </si>
  <si>
    <t>Backup power systems (batteries, supercapacitors)</t>
  </si>
  <si>
    <t>Battery capacity loss (sulfation / aging)</t>
  </si>
  <si>
    <t xml:space="preserve">Loss of emergency pitch control or braking function during power loss; serious risk. </t>
  </si>
  <si>
    <t>Normal cycle aging, deep discharges, and high temperature.</t>
  </si>
  <si>
    <t xml:space="preserve"> Lead-acid batteries suffer from sulfation of plates and electrolyte stratification.</t>
  </si>
  <si>
    <t>Probability of Data: High. Nearly all battery-based systems show significant degradation within 2–4 years of service</t>
  </si>
  <si>
    <t>Charge-state monitored, but internal degradation is less detectable.</t>
  </si>
  <si>
    <t>Lightning protection system (receptors, down conductors, grounding)</t>
  </si>
  <si>
    <t>Receptor erosion or damage</t>
  </si>
  <si>
    <t>Failure can lead to catastrophic blade or nacelle damage and full system loss.</t>
  </si>
  <si>
    <t xml:space="preserve"> Direct lightning strikes exceeding design limits or repeated smaller strikes.</t>
  </si>
  <si>
    <t>Natural erosion from high-energy events, poor bonding to blade laminate, or manufacturing defect</t>
  </si>
  <si>
    <t xml:space="preserve"> Probability of Data: High (~30–40 % of blades show receptor wear by 5 years in high-storm regions)</t>
  </si>
  <si>
    <t>Often no real-time monitoring; only discovered during inspections</t>
  </si>
  <si>
    <t>Auxiliary Systems</t>
  </si>
  <si>
    <t>Hydraulic system (for pitch, yaw, braking)</t>
  </si>
  <si>
    <t>Oil contamination (particles / water)</t>
  </si>
  <si>
    <t>Critical — controls pitch and braking; loss can cause overspeed or total failure requiring shutdown.</t>
  </si>
  <si>
    <t>Dirty fill practices, seal failures, condensation, or worn pumps introducing particles.</t>
  </si>
  <si>
    <t xml:space="preserve"> Inadequate filtration, clogged filters, or missing/desiccant breathers.</t>
  </si>
  <si>
    <t xml:space="preserve"> Probability of Data: High (~40–60 % of hydraulic faults)</t>
  </si>
  <si>
    <t>Pressure sensors catch some issues but leaks can be slow and hard to catch</t>
  </si>
  <si>
    <t>Heating systems (nacelle heaters)</t>
  </si>
  <si>
    <t>Thermostat or temperature sensor malfunction</t>
  </si>
  <si>
    <t xml:space="preserve">Failure leads to cold-related issues but not direct turbine shutdown; affects reliability and component life. </t>
  </si>
  <si>
    <t>Incorrect temperature regulation (overheating or underheating)</t>
  </si>
  <si>
    <t>Sensor drift, wiring corrosion, or failed thermostat contacts</t>
  </si>
  <si>
    <t>Probability of Data: Moderate (~10–15 % in 10 yrs)</t>
  </si>
  <si>
    <t>Monitored through temperature feedback</t>
  </si>
  <si>
    <t>Blade de-icing systems (electrical, hot air)</t>
  </si>
  <si>
    <t>Heating element burnout (electrical mats/resistive wires)</t>
  </si>
  <si>
    <t xml:space="preserve">Failure leads to ice buildup, reducing efficiency and possibly causing imbalance or blade damage. </t>
  </si>
  <si>
    <t>Overheating due to poor thermal contact or control fault.</t>
  </si>
  <si>
    <t>Local hot spots, insulation degradation, power surges.</t>
  </si>
  <si>
    <t>Probability of Data: Moderate–High (~20–30 % over 10 yrs)</t>
  </si>
  <si>
    <t>Electrical monitoring helps, but partial failures not always obvious</t>
  </si>
  <si>
    <t>Cooling fans and ventilation</t>
  </si>
  <si>
    <t>Fan motor burnout</t>
  </si>
  <si>
    <t xml:space="preserve">Overheating of nacelle components (e.g., generator, converters) can trigger shutdowns or accelerated wear. </t>
  </si>
  <si>
    <t>Continuous operation under high load or blocked airflow.</t>
  </si>
  <si>
    <t>Dust buildup, worn bearings, poor lubrication, overheating due to failed temperature sensors.</t>
  </si>
  <si>
    <t>Probability of Data: Moderate (~10–20 % within 10 yrs), higher in dusty/agricultural or offshore sites</t>
  </si>
  <si>
    <t>Fan speed and temperature increase show failure quickly.</t>
  </si>
  <si>
    <t>Fire suppression system (sensors, extinguishers)</t>
  </si>
  <si>
    <t>Sensor false alarms or failure to detect fire</t>
  </si>
  <si>
    <t>Extremely critical — if it fails during fire, total turbine loss and safety risk to personnel.</t>
  </si>
  <si>
    <t>Dust, oil mist, or vibration affecting smoke/heat detectors.</t>
  </si>
  <si>
    <t>Contamination of sensor optics, wiring faults, poor calibration.</t>
  </si>
  <si>
    <t xml:space="preserve"> Probability of Data: Moderate (~10–20 % over 5 years)</t>
  </si>
  <si>
    <t>Panel diagnostics detect most faults; physical canister issues require inspection.</t>
  </si>
  <si>
    <t xml:space="preserve">Medium </t>
  </si>
  <si>
    <t xml:space="preserve">10-Point Risk Matrix </t>
  </si>
  <si>
    <t xml:space="preserve">Severity </t>
  </si>
  <si>
    <t>Severity</t>
  </si>
  <si>
    <t>Minimal (1)</t>
  </si>
  <si>
    <t xml:space="preserve">Occurance </t>
  </si>
  <si>
    <t>Very Remote (1)</t>
  </si>
  <si>
    <t>Detection</t>
  </si>
  <si>
    <t>Certain Detection (1)</t>
  </si>
  <si>
    <t>Very Low (2)</t>
  </si>
  <si>
    <t>Remote (2)</t>
  </si>
  <si>
    <t>Very High (2)</t>
  </si>
  <si>
    <t>Low (3)</t>
  </si>
  <si>
    <t>Very Unlikely (3)</t>
  </si>
  <si>
    <t>High (3)</t>
  </si>
  <si>
    <t>Moderate (4)</t>
  </si>
  <si>
    <t>Unlikely (4)</t>
  </si>
  <si>
    <t>Moderately High (4)</t>
  </si>
  <si>
    <t>Medium (5)</t>
  </si>
  <si>
    <t>Possible (5)</t>
  </si>
  <si>
    <t>Moderate (5)</t>
  </si>
  <si>
    <t>Elevated (6)</t>
  </si>
  <si>
    <t>Moderately Likely (6)</t>
  </si>
  <si>
    <t>Moderately Low (6)</t>
  </si>
  <si>
    <t>High (7)</t>
  </si>
  <si>
    <t>Likely (7)</t>
  </si>
  <si>
    <t>Low (7)</t>
  </si>
  <si>
    <t>Very High (8)</t>
  </si>
  <si>
    <t>Very Likely (8)</t>
  </si>
  <si>
    <t>Very Low (8)</t>
  </si>
  <si>
    <t>Severe (9)</t>
  </si>
  <si>
    <t>Almost Certain (9)</t>
  </si>
  <si>
    <t>Extemely Unlikely (9)</t>
  </si>
  <si>
    <t>Critical (10)</t>
  </si>
  <si>
    <t>Inevitable (10)</t>
  </si>
  <si>
    <t>Impossible (10)</t>
  </si>
  <si>
    <t>Occurance</t>
  </si>
  <si>
    <t>Acceptable</t>
  </si>
  <si>
    <t>Consideration</t>
  </si>
  <si>
    <t>Need Corrective Action</t>
  </si>
  <si>
    <t>Needs Immediate Action</t>
  </si>
  <si>
    <t>0 - 150</t>
  </si>
  <si>
    <t>Low Risk</t>
  </si>
  <si>
    <t>151 - 300</t>
  </si>
  <si>
    <t xml:space="preserve">Medium Risk </t>
  </si>
  <si>
    <t>300 +</t>
  </si>
  <si>
    <t xml:space="preserve">High Risk </t>
  </si>
  <si>
    <t>S</t>
  </si>
  <si>
    <t>O</t>
  </si>
  <si>
    <t>D</t>
  </si>
  <si>
    <t>Rotor</t>
  </si>
  <si>
    <t xml:space="preserve">Rotor </t>
  </si>
  <si>
    <t xml:space="preserve">Lightning protection system </t>
  </si>
  <si>
    <t xml:space="preserve">Tower </t>
  </si>
  <si>
    <t xml:space="preserve">Foundation </t>
  </si>
  <si>
    <t>Tower</t>
  </si>
  <si>
    <t xml:space="preserve">Auxilary </t>
  </si>
  <si>
    <t xml:space="preserve">Main Housing </t>
  </si>
  <si>
    <t>Control &amp; Safety</t>
  </si>
  <si>
    <t xml:space="preserve">Pitch mechanism </t>
  </si>
  <si>
    <t xml:space="preserve">Control &amp; Safety </t>
  </si>
  <si>
    <t xml:space="preserve">Electrical </t>
  </si>
  <si>
    <t xml:space="preserve">FMEA Analysis based on SCADA Relationship Data </t>
  </si>
  <si>
    <t>Maintenance Procedures</t>
  </si>
  <si>
    <t xml:space="preserve">Cost for Maintenance </t>
  </si>
  <si>
    <t xml:space="preserve">Cost for replacement </t>
  </si>
  <si>
    <t xml:space="preserve">Rotor System </t>
  </si>
  <si>
    <t>LEP renewal, composite repair, cleaning, erosion coating</t>
  </si>
  <si>
    <t>$500–$40,000</t>
  </si>
  <si>
    <t>Blade Replacement: $100,000–$250,000 per blade</t>
  </si>
  <si>
    <t>Bolt torque check, NDT, bolt replacement, laminate repair</t>
  </si>
  <si>
    <t>$1,000–$40,000</t>
  </si>
  <si>
    <t>Bolt Set Replacement: $8,000–$20,000</t>
  </si>
  <si>
    <t>NDT, weld repair, reinforcement, stress relief</t>
  </si>
  <si>
    <t>$3,000–$60,000</t>
  </si>
  <si>
    <t>Full Hub Replacement: $100,000–$250,000 + crane costs</t>
  </si>
  <si>
    <t>Oil change, gear inspection, gearbox replacement</t>
  </si>
  <si>
    <t>$1,000–$60,000</t>
  </si>
  <si>
    <t>Pitch motor replacement: $8,000–$20,000</t>
  </si>
  <si>
    <t>Oil analysis, oil change, sensor installation, gear repair</t>
  </si>
  <si>
    <t>$300-$40,000</t>
  </si>
  <si>
    <t>Full Gearbox Replacement: $150,000–$350,000 + crane costs</t>
  </si>
  <si>
    <t>Pump replacement, flush, filter change</t>
  </si>
  <si>
    <t>$3,000-$8,000</t>
  </si>
  <si>
    <t>Complete Replacement: $24,000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</si>
</sst>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sz val="10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  <scheme val="minor"/>
    </font>
    <font>
      <sz val="11.0"/>
      <color rgb="FF000000"/>
      <name val="Calibri"/>
    </font>
    <font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0" vertical="center" wrapText="1"/>
    </xf>
    <xf borderId="1" fillId="2" fontId="1" numFmtId="0" xfId="0" applyAlignment="1" applyBorder="1" applyFont="1">
      <alignment horizontal="center" textRotation="0" vertical="center"/>
    </xf>
    <xf borderId="1" fillId="2" fontId="2" numFmtId="0" xfId="0" applyAlignment="1" applyBorder="1" applyFont="1">
      <alignment horizontal="center" readingOrder="0" textRotation="0" vertical="center"/>
    </xf>
    <xf borderId="2" fillId="2" fontId="3" numFmtId="0" xfId="0" applyAlignment="1" applyBorder="1" applyFont="1">
      <alignment horizontal="center" readingOrder="0" textRotation="0" vertical="center"/>
    </xf>
    <xf borderId="3" fillId="0" fontId="4" numFmtId="0" xfId="0" applyBorder="1" applyFont="1"/>
    <xf borderId="1" fillId="2" fontId="3" numFmtId="0" xfId="0" applyAlignment="1" applyBorder="1" applyFont="1">
      <alignment horizontal="center" readingOrder="0" textRotation="0" vertical="center"/>
    </xf>
    <xf borderId="1" fillId="2" fontId="3" numFmtId="0" xfId="0" applyAlignment="1" applyBorder="1" applyFont="1">
      <alignment horizontal="center" readingOrder="0" shrinkToFit="0" textRotation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4" fillId="0" fontId="0" numFmtId="0" xfId="0" applyAlignment="1" applyBorder="1" applyFon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4" fillId="4" fontId="6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top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9" fillId="0" fontId="4" numFmtId="0" xfId="0" applyBorder="1" applyFont="1"/>
    <xf borderId="6" fillId="6" fontId="6" numFmtId="0" xfId="0" applyAlignment="1" applyBorder="1" applyFont="1">
      <alignment horizontal="center" readingOrder="0" shrinkToFit="0" vertical="center" wrapText="1"/>
    </xf>
    <xf borderId="7" fillId="6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horizontal="center" readingOrder="0" vertical="center"/>
    </xf>
    <xf borderId="11" fillId="0" fontId="4" numFmtId="0" xfId="0" applyBorder="1" applyFont="1"/>
    <xf borderId="0" fillId="0" fontId="7" numFmtId="0" xfId="0" applyAlignment="1" applyFont="1">
      <alignment horizontal="center" readingOrder="0" textRotation="90" vertical="center"/>
    </xf>
    <xf borderId="12" fillId="0" fontId="7" numFmtId="0" xfId="0" applyAlignment="1" applyBorder="1" applyFont="1">
      <alignment horizontal="center" readingOrder="0" textRotation="90" vertical="center"/>
    </xf>
    <xf borderId="1" fillId="0" fontId="7" numFmtId="0" xfId="0" applyAlignment="1" applyBorder="1" applyFont="1">
      <alignment horizontal="center" readingOrder="0" vertical="center"/>
    </xf>
    <xf borderId="1" fillId="6" fontId="7" numFmtId="0" xfId="0" applyBorder="1" applyFont="1"/>
    <xf borderId="1" fillId="4" fontId="7" numFmtId="0" xfId="0" applyBorder="1" applyFont="1"/>
    <xf borderId="1" fillId="3" fontId="7" numFmtId="0" xfId="0" applyBorder="1" applyFont="1"/>
    <xf borderId="12" fillId="0" fontId="9" numFmtId="0" xfId="0" applyAlignment="1" applyBorder="1" applyFont="1">
      <alignment horizontal="center" readingOrder="0" shrinkToFit="0" textRotation="90" vertical="center" wrapText="1"/>
    </xf>
    <xf borderId="1" fillId="0" fontId="9" numFmtId="0" xfId="0" applyAlignment="1" applyBorder="1" applyFont="1">
      <alignment readingOrder="0" vertical="bottom"/>
    </xf>
    <xf borderId="12" fillId="0" fontId="9" numFmtId="0" xfId="0" applyAlignment="1" applyBorder="1" applyFont="1">
      <alignment horizontal="center" shrinkToFit="0" textRotation="90" vertical="center" wrapText="1"/>
    </xf>
    <xf borderId="1" fillId="0" fontId="9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5" fillId="0" fontId="4" numFmtId="0" xfId="0" applyBorder="1" applyFont="1"/>
    <xf borderId="1" fillId="5" fontId="7" numFmtId="0" xfId="0" applyBorder="1" applyFont="1"/>
    <xf borderId="7" fillId="0" fontId="4" numFmtId="0" xfId="0" applyBorder="1" applyFont="1"/>
    <xf borderId="1" fillId="0" fontId="9" numFmtId="0" xfId="0" applyAlignment="1" applyBorder="1" applyFont="1">
      <alignment vertical="bottom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shrinkToFit="0" textRotation="90" vertical="center" wrapText="1"/>
    </xf>
    <xf borderId="0" fillId="0" fontId="9" numFmtId="0" xfId="0" applyAlignment="1" applyFont="1">
      <alignment vertical="bottom"/>
    </xf>
    <xf borderId="2" fillId="0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shrinkToFit="0" textRotation="0" vertical="center" wrapText="1"/>
    </xf>
    <xf borderId="0" fillId="0" fontId="1" numFmtId="0" xfId="0" applyAlignment="1" applyFont="1">
      <alignment horizontal="center" shrinkToFit="0" textRotation="0" vertical="center" wrapText="1"/>
    </xf>
    <xf borderId="0" fillId="0" fontId="11" numFmtId="0" xfId="0" applyAlignment="1" applyFont="1">
      <alignment horizontal="center" readingOrder="0" shrinkToFit="0" textRotation="0" vertical="center" wrapText="1"/>
    </xf>
    <xf borderId="0" fillId="0" fontId="12" numFmtId="0" xfId="0" applyAlignment="1" applyFont="1">
      <alignment horizontal="center" readingOrder="0" shrinkToFit="0" textRotation="0" vertical="center" wrapText="1"/>
    </xf>
    <xf borderId="12" fillId="2" fontId="1" numFmtId="0" xfId="0" applyAlignment="1" applyBorder="1" applyFont="1">
      <alignment horizontal="center" shrinkToFit="0" textRotation="0" vertical="center" wrapText="1"/>
    </xf>
    <xf borderId="12" fillId="2" fontId="11" numFmtId="0" xfId="0" applyAlignment="1" applyBorder="1" applyFont="1">
      <alignment horizontal="center" readingOrder="0" shrinkToFit="0" textRotation="0" vertical="center" wrapText="1"/>
    </xf>
    <xf borderId="12" fillId="0" fontId="12" numFmtId="0" xfId="0" applyAlignment="1" applyBorder="1" applyFont="1">
      <alignment horizontal="center" readingOrder="0" shrinkToFit="0" textRotation="0" vertical="center" wrapText="1"/>
    </xf>
    <xf borderId="0" fillId="0" fontId="8" numFmtId="0" xfId="0" applyAlignment="1" applyFont="1">
      <alignment horizontal="center" readingOrder="0" shrinkToFit="0" wrapText="1"/>
    </xf>
    <xf borderId="13" fillId="0" fontId="1" numFmtId="0" xfId="0" applyAlignment="1" applyBorder="1" applyFont="1">
      <alignment horizontal="center" readingOrder="0" shrinkToFit="0" wrapText="1"/>
    </xf>
    <xf borderId="14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4" fillId="3" fontId="13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10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wrapText="1"/>
    </xf>
    <xf borderId="14" fillId="0" fontId="1" numFmtId="0" xfId="0" applyAlignment="1" applyBorder="1" applyFont="1">
      <alignment horizontal="center" shrinkToFit="0" wrapText="1"/>
    </xf>
    <xf borderId="0" fillId="6" fontId="1" numFmtId="0" xfId="0" applyAlignment="1" applyFon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0" fillId="5" fontId="13" numFmtId="0" xfId="0" applyAlignment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center" shrinkToFit="0" wrapText="1"/>
    </xf>
    <xf borderId="9" fillId="5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0" fillId="7" fontId="14" numFmtId="0" xfId="0" applyAlignment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/>
    </xf>
    <xf borderId="5" fillId="8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0" fillId="0" fontId="7" numFmtId="0" xfId="0" applyAlignment="1" applyBorder="1" applyFont="1">
      <alignment horizontal="center" readingOrder="0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8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textRotation="9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7" fillId="5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 Risk Level Components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'RPN ranked Components '!$C$3:$C$13</c:f>
            </c:strRef>
          </c:cat>
          <c:val>
            <c:numRef>
              <c:f>'RPN ranked Components '!$G$3:$G$13</c:f>
              <c:numCache/>
            </c:numRef>
          </c:val>
        </c:ser>
        <c:axId val="1617612857"/>
        <c:axId val="263952630"/>
      </c:bar3DChart>
      <c:catAx>
        <c:axId val="1617612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Components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952630"/>
      </c:catAx>
      <c:valAx>
        <c:axId val="263952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RPN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612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Medium Risk Level Components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'RPN ranked Components '!$G$15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'RPN ranked Components '!$C$16:$C$34</c:f>
            </c:strRef>
          </c:cat>
          <c:val>
            <c:numRef>
              <c:f>'RPN ranked Components '!$G$16:$G$34</c:f>
              <c:numCache/>
            </c:numRef>
          </c:val>
        </c:ser>
        <c:axId val="1208418667"/>
        <c:axId val="1353101236"/>
      </c:bar3DChart>
      <c:catAx>
        <c:axId val="1208418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Components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101236"/>
      </c:catAx>
      <c:valAx>
        <c:axId val="1353101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RPN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418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Low Risk Level Components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'RPN ranked Components '!$G$36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'RPN ranked Components '!$C$37:$C$50</c:f>
            </c:strRef>
          </c:cat>
          <c:val>
            <c:numRef>
              <c:f>'RPN ranked Components '!$G$37:$G$50</c:f>
              <c:numCache/>
            </c:numRef>
          </c:val>
        </c:ser>
        <c:axId val="1125172168"/>
        <c:axId val="1362416267"/>
      </c:bar3DChart>
      <c:catAx>
        <c:axId val="1125172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Components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416267"/>
      </c:catAx>
      <c:valAx>
        <c:axId val="1362416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RPN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172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0</xdr:row>
      <xdr:rowOff>190500</xdr:rowOff>
    </xdr:from>
    <xdr:ext cx="423862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13</xdr:row>
      <xdr:rowOff>66675</xdr:rowOff>
    </xdr:from>
    <xdr:ext cx="423862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85725</xdr:colOff>
      <xdr:row>25</xdr:row>
      <xdr:rowOff>161925</xdr:rowOff>
    </xdr:from>
    <xdr:ext cx="4238625" cy="2619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85725</xdr:colOff>
      <xdr:row>38</xdr:row>
      <xdr:rowOff>38100</xdr:rowOff>
    </xdr:from>
    <xdr:ext cx="4238625" cy="2619375"/>
    <xdr:pic>
      <xdr:nvPicPr>
        <xdr:cNvPr id="105166506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22.63"/>
    <col customWidth="1" min="3" max="3" width="22.88"/>
    <col customWidth="1" min="4" max="4" width="8.88"/>
    <col customWidth="1" min="5" max="5" width="22.13"/>
    <col customWidth="1" min="6" max="6" width="28.88"/>
    <col customWidth="1" min="7" max="7" width="33.13"/>
    <col customWidth="1" min="8" max="8" width="10.38"/>
    <col customWidth="1" min="9" max="9" width="27.38"/>
    <col customWidth="1" min="10" max="10" width="9.75"/>
    <col customWidth="1" min="11" max="11" width="23.38"/>
    <col customWidth="1" min="12" max="12" width="9.13"/>
    <col customWidth="1" min="13" max="13" width="12.13"/>
  </cols>
  <sheetData>
    <row r="1" ht="49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3" t="s">
        <v>4</v>
      </c>
      <c r="G1" s="3" t="s">
        <v>5</v>
      </c>
      <c r="H1" s="4" t="s">
        <v>6</v>
      </c>
      <c r="I1" s="5"/>
      <c r="J1" s="4" t="s">
        <v>7</v>
      </c>
      <c r="K1" s="5"/>
      <c r="L1" s="6" t="s">
        <v>8</v>
      </c>
      <c r="M1" s="7" t="s">
        <v>9</v>
      </c>
    </row>
    <row r="2">
      <c r="A2" s="8" t="s">
        <v>10</v>
      </c>
      <c r="B2" s="9" t="s">
        <v>11</v>
      </c>
      <c r="C2" s="10" t="s">
        <v>12</v>
      </c>
      <c r="D2" s="11">
        <v>10.0</v>
      </c>
      <c r="E2" s="12" t="s">
        <v>13</v>
      </c>
      <c r="F2" s="10" t="s">
        <v>14</v>
      </c>
      <c r="G2" s="10" t="s">
        <v>15</v>
      </c>
      <c r="H2" s="13">
        <v>7.0</v>
      </c>
      <c r="I2" s="12" t="s">
        <v>16</v>
      </c>
      <c r="J2" s="14">
        <v>9.0</v>
      </c>
      <c r="K2" s="12" t="s">
        <v>17</v>
      </c>
      <c r="L2" s="15">
        <f t="shared" ref="L2:L45" si="1">D2*H2*J2</f>
        <v>630</v>
      </c>
      <c r="M2" s="15" t="s">
        <v>18</v>
      </c>
    </row>
    <row r="3">
      <c r="A3" s="16"/>
      <c r="B3" s="9" t="s">
        <v>19</v>
      </c>
      <c r="C3" s="10" t="s">
        <v>20</v>
      </c>
      <c r="D3" s="11">
        <v>10.0</v>
      </c>
      <c r="E3" s="12" t="s">
        <v>21</v>
      </c>
      <c r="F3" s="10" t="s">
        <v>22</v>
      </c>
      <c r="G3" s="10" t="s">
        <v>23</v>
      </c>
      <c r="H3" s="13">
        <v>4.0</v>
      </c>
      <c r="I3" s="12" t="s">
        <v>24</v>
      </c>
      <c r="J3" s="14">
        <v>8.0</v>
      </c>
      <c r="K3" s="12" t="s">
        <v>25</v>
      </c>
      <c r="L3" s="15">
        <f t="shared" si="1"/>
        <v>320</v>
      </c>
      <c r="M3" s="15" t="s">
        <v>18</v>
      </c>
    </row>
    <row r="4">
      <c r="A4" s="16"/>
      <c r="B4" s="9" t="s">
        <v>26</v>
      </c>
      <c r="C4" s="10" t="s">
        <v>27</v>
      </c>
      <c r="D4" s="11">
        <v>7.0</v>
      </c>
      <c r="E4" s="12" t="s">
        <v>28</v>
      </c>
      <c r="F4" s="10" t="s">
        <v>29</v>
      </c>
      <c r="G4" s="10" t="s">
        <v>30</v>
      </c>
      <c r="H4" s="13">
        <v>8.0</v>
      </c>
      <c r="I4" s="12" t="s">
        <v>31</v>
      </c>
      <c r="J4" s="14">
        <v>5.0</v>
      </c>
      <c r="K4" s="14" t="s">
        <v>32</v>
      </c>
      <c r="L4" s="15">
        <f t="shared" si="1"/>
        <v>280</v>
      </c>
      <c r="M4" s="15" t="s">
        <v>33</v>
      </c>
    </row>
    <row r="5">
      <c r="A5" s="16"/>
      <c r="B5" s="9" t="s">
        <v>34</v>
      </c>
      <c r="C5" s="10" t="s">
        <v>35</v>
      </c>
      <c r="D5" s="17">
        <v>9.0</v>
      </c>
      <c r="E5" s="12" t="s">
        <v>36</v>
      </c>
      <c r="F5" s="10" t="s">
        <v>37</v>
      </c>
      <c r="G5" s="10" t="s">
        <v>38</v>
      </c>
      <c r="H5" s="18">
        <v>3.0</v>
      </c>
      <c r="I5" s="12" t="s">
        <v>39</v>
      </c>
      <c r="J5" s="14">
        <v>9.0</v>
      </c>
      <c r="K5" s="14" t="s">
        <v>40</v>
      </c>
      <c r="L5" s="15">
        <f t="shared" si="1"/>
        <v>243</v>
      </c>
      <c r="M5" s="15" t="s">
        <v>33</v>
      </c>
    </row>
    <row r="6">
      <c r="A6" s="16"/>
      <c r="B6" s="9" t="s">
        <v>41</v>
      </c>
      <c r="C6" s="10" t="s">
        <v>42</v>
      </c>
      <c r="D6" s="17">
        <v>9.0</v>
      </c>
      <c r="E6" s="12" t="s">
        <v>43</v>
      </c>
      <c r="F6" s="10" t="s">
        <v>44</v>
      </c>
      <c r="G6" s="10" t="s">
        <v>45</v>
      </c>
      <c r="H6" s="18">
        <v>4.0</v>
      </c>
      <c r="I6" s="12" t="s">
        <v>46</v>
      </c>
      <c r="J6" s="14">
        <v>7.0</v>
      </c>
      <c r="K6" s="14" t="s">
        <v>47</v>
      </c>
      <c r="L6" s="15">
        <f t="shared" si="1"/>
        <v>252</v>
      </c>
      <c r="M6" s="15" t="s">
        <v>33</v>
      </c>
    </row>
    <row r="7">
      <c r="A7" s="19"/>
      <c r="B7" s="20" t="s">
        <v>48</v>
      </c>
      <c r="C7" s="21" t="s">
        <v>49</v>
      </c>
      <c r="D7" s="22">
        <v>8.0</v>
      </c>
      <c r="E7" s="23" t="s">
        <v>50</v>
      </c>
      <c r="F7" s="21" t="s">
        <v>51</v>
      </c>
      <c r="G7" s="21" t="s">
        <v>52</v>
      </c>
      <c r="H7" s="24">
        <v>6.0</v>
      </c>
      <c r="I7" s="23" t="s">
        <v>53</v>
      </c>
      <c r="J7" s="25">
        <v>8.0</v>
      </c>
      <c r="K7" s="25" t="s">
        <v>54</v>
      </c>
      <c r="L7" s="26">
        <f t="shared" si="1"/>
        <v>384</v>
      </c>
      <c r="M7" s="26" t="s">
        <v>18</v>
      </c>
    </row>
    <row r="8">
      <c r="A8" s="8" t="s">
        <v>55</v>
      </c>
      <c r="B8" s="9" t="s">
        <v>56</v>
      </c>
      <c r="C8" s="10" t="s">
        <v>57</v>
      </c>
      <c r="D8" s="11">
        <v>10.0</v>
      </c>
      <c r="E8" s="15" t="s">
        <v>58</v>
      </c>
      <c r="F8" s="10" t="s">
        <v>59</v>
      </c>
      <c r="G8" s="10" t="s">
        <v>60</v>
      </c>
      <c r="H8" s="13">
        <v>4.0</v>
      </c>
      <c r="I8" s="12" t="s">
        <v>61</v>
      </c>
      <c r="J8" s="14">
        <v>8.0</v>
      </c>
      <c r="K8" s="14" t="s">
        <v>62</v>
      </c>
      <c r="L8" s="15">
        <f t="shared" si="1"/>
        <v>320</v>
      </c>
      <c r="M8" s="15" t="s">
        <v>63</v>
      </c>
      <c r="N8" s="27"/>
      <c r="O8" s="27"/>
    </row>
    <row r="9">
      <c r="A9" s="16"/>
      <c r="B9" s="9" t="s">
        <v>64</v>
      </c>
      <c r="C9" s="10" t="s">
        <v>65</v>
      </c>
      <c r="D9" s="11">
        <v>9.0</v>
      </c>
      <c r="E9" s="15" t="s">
        <v>66</v>
      </c>
      <c r="F9" s="10" t="s">
        <v>67</v>
      </c>
      <c r="G9" s="10" t="s">
        <v>68</v>
      </c>
      <c r="H9" s="13">
        <v>6.0</v>
      </c>
      <c r="I9" s="12" t="s">
        <v>69</v>
      </c>
      <c r="J9" s="14">
        <v>3.0</v>
      </c>
      <c r="K9" s="14" t="s">
        <v>70</v>
      </c>
      <c r="L9" s="15">
        <f t="shared" si="1"/>
        <v>162</v>
      </c>
      <c r="M9" s="15" t="s">
        <v>33</v>
      </c>
      <c r="N9" s="27"/>
      <c r="O9" s="27"/>
    </row>
    <row r="10">
      <c r="A10" s="16"/>
      <c r="B10" s="9" t="s">
        <v>71</v>
      </c>
      <c r="C10" s="10" t="s">
        <v>72</v>
      </c>
      <c r="D10" s="11">
        <v>10.0</v>
      </c>
      <c r="E10" s="12" t="s">
        <v>73</v>
      </c>
      <c r="F10" s="10" t="s">
        <v>74</v>
      </c>
      <c r="G10" s="10" t="s">
        <v>75</v>
      </c>
      <c r="H10" s="13">
        <v>8.0</v>
      </c>
      <c r="I10" s="12" t="s">
        <v>76</v>
      </c>
      <c r="J10" s="14">
        <v>5.0</v>
      </c>
      <c r="K10" s="14" t="s">
        <v>77</v>
      </c>
      <c r="L10" s="15">
        <f t="shared" si="1"/>
        <v>400</v>
      </c>
      <c r="M10" s="15" t="s">
        <v>18</v>
      </c>
      <c r="N10" s="27"/>
      <c r="O10" s="27"/>
    </row>
    <row r="11">
      <c r="A11" s="16"/>
      <c r="B11" s="9" t="s">
        <v>78</v>
      </c>
      <c r="C11" s="10" t="s">
        <v>79</v>
      </c>
      <c r="D11" s="28">
        <v>4.0</v>
      </c>
      <c r="E11" s="15" t="s">
        <v>80</v>
      </c>
      <c r="F11" s="10" t="s">
        <v>81</v>
      </c>
      <c r="G11" s="10" t="s">
        <v>82</v>
      </c>
      <c r="H11" s="29">
        <v>5.0</v>
      </c>
      <c r="I11" s="12" t="s">
        <v>83</v>
      </c>
      <c r="J11" s="14">
        <v>3.0</v>
      </c>
      <c r="K11" s="14" t="s">
        <v>84</v>
      </c>
      <c r="L11" s="15">
        <f t="shared" si="1"/>
        <v>60</v>
      </c>
      <c r="M11" s="15" t="s">
        <v>85</v>
      </c>
      <c r="N11" s="27"/>
      <c r="O11" s="27"/>
    </row>
    <row r="12">
      <c r="A12" s="16"/>
      <c r="B12" s="9" t="s">
        <v>86</v>
      </c>
      <c r="C12" s="10" t="s">
        <v>87</v>
      </c>
      <c r="D12" s="17">
        <v>9.0</v>
      </c>
      <c r="E12" s="15" t="s">
        <v>88</v>
      </c>
      <c r="F12" s="10" t="s">
        <v>89</v>
      </c>
      <c r="G12" s="10" t="s">
        <v>90</v>
      </c>
      <c r="H12" s="18">
        <v>4.0</v>
      </c>
      <c r="I12" s="12" t="s">
        <v>91</v>
      </c>
      <c r="J12" s="14">
        <v>4.0</v>
      </c>
      <c r="K12" s="14" t="s">
        <v>92</v>
      </c>
      <c r="L12" s="15">
        <f t="shared" si="1"/>
        <v>144</v>
      </c>
      <c r="M12" s="15" t="s">
        <v>85</v>
      </c>
      <c r="N12" s="27"/>
      <c r="O12" s="27"/>
    </row>
    <row r="13">
      <c r="A13" s="16"/>
      <c r="B13" s="9" t="s">
        <v>93</v>
      </c>
      <c r="C13" s="10" t="s">
        <v>94</v>
      </c>
      <c r="D13" s="30">
        <v>4.0</v>
      </c>
      <c r="E13" s="12" t="s">
        <v>95</v>
      </c>
      <c r="F13" s="10" t="s">
        <v>96</v>
      </c>
      <c r="G13" s="10" t="s">
        <v>97</v>
      </c>
      <c r="H13" s="31">
        <v>6.0</v>
      </c>
      <c r="I13" s="12" t="s">
        <v>98</v>
      </c>
      <c r="J13" s="14">
        <v>5.0</v>
      </c>
      <c r="K13" s="14" t="s">
        <v>99</v>
      </c>
      <c r="L13" s="15">
        <f t="shared" si="1"/>
        <v>120</v>
      </c>
      <c r="M13" s="15" t="s">
        <v>85</v>
      </c>
      <c r="N13" s="27"/>
      <c r="O13" s="27"/>
    </row>
    <row r="14">
      <c r="A14" s="16"/>
      <c r="B14" s="9" t="s">
        <v>100</v>
      </c>
      <c r="C14" s="10" t="s">
        <v>101</v>
      </c>
      <c r="D14" s="11">
        <v>7.0</v>
      </c>
      <c r="E14" s="12" t="s">
        <v>102</v>
      </c>
      <c r="F14" s="10" t="s">
        <v>103</v>
      </c>
      <c r="G14" s="10" t="s">
        <v>104</v>
      </c>
      <c r="H14" s="13">
        <v>8.0</v>
      </c>
      <c r="I14" s="12" t="s">
        <v>105</v>
      </c>
      <c r="J14" s="14">
        <v>4.0</v>
      </c>
      <c r="K14" s="14" t="s">
        <v>106</v>
      </c>
      <c r="L14" s="15">
        <f t="shared" si="1"/>
        <v>224</v>
      </c>
      <c r="M14" s="15" t="s">
        <v>33</v>
      </c>
      <c r="N14" s="27"/>
      <c r="O14" s="27"/>
    </row>
    <row r="15">
      <c r="A15" s="16"/>
      <c r="B15" s="9" t="s">
        <v>107</v>
      </c>
      <c r="C15" s="10" t="s">
        <v>108</v>
      </c>
      <c r="D15" s="11">
        <v>9.0</v>
      </c>
      <c r="E15" s="15" t="s">
        <v>109</v>
      </c>
      <c r="F15" s="10" t="s">
        <v>110</v>
      </c>
      <c r="G15" s="10" t="s">
        <v>111</v>
      </c>
      <c r="H15" s="13">
        <v>6.0</v>
      </c>
      <c r="I15" s="12" t="s">
        <v>112</v>
      </c>
      <c r="J15" s="14">
        <v>5.0</v>
      </c>
      <c r="K15" s="14" t="s">
        <v>113</v>
      </c>
      <c r="L15" s="15">
        <f t="shared" si="1"/>
        <v>270</v>
      </c>
      <c r="M15" s="15" t="s">
        <v>33</v>
      </c>
      <c r="N15" s="27"/>
      <c r="O15" s="27"/>
    </row>
    <row r="16">
      <c r="A16" s="16"/>
      <c r="B16" s="9" t="s">
        <v>114</v>
      </c>
      <c r="C16" s="10" t="s">
        <v>115</v>
      </c>
      <c r="D16" s="30">
        <v>5.0</v>
      </c>
      <c r="E16" s="15" t="s">
        <v>116</v>
      </c>
      <c r="F16" s="10" t="s">
        <v>117</v>
      </c>
      <c r="G16" s="10" t="s">
        <v>118</v>
      </c>
      <c r="H16" s="31">
        <v>6.0</v>
      </c>
      <c r="I16" s="12" t="s">
        <v>119</v>
      </c>
      <c r="J16" s="14">
        <v>3.0</v>
      </c>
      <c r="K16" s="14" t="s">
        <v>120</v>
      </c>
      <c r="L16" s="15">
        <f t="shared" si="1"/>
        <v>90</v>
      </c>
      <c r="M16" s="15" t="s">
        <v>85</v>
      </c>
      <c r="N16" s="27"/>
      <c r="O16" s="27"/>
    </row>
    <row r="17">
      <c r="A17" s="16"/>
      <c r="B17" s="9" t="s">
        <v>121</v>
      </c>
      <c r="C17" s="10" t="s">
        <v>122</v>
      </c>
      <c r="D17" s="30">
        <v>6.0</v>
      </c>
      <c r="E17" s="15" t="s">
        <v>123</v>
      </c>
      <c r="F17" s="10" t="s">
        <v>124</v>
      </c>
      <c r="G17" s="10" t="s">
        <v>125</v>
      </c>
      <c r="H17" s="31">
        <v>5.0</v>
      </c>
      <c r="I17" s="12" t="s">
        <v>126</v>
      </c>
      <c r="J17" s="14">
        <v>3.0</v>
      </c>
      <c r="K17" s="14" t="s">
        <v>127</v>
      </c>
      <c r="L17" s="15">
        <f t="shared" si="1"/>
        <v>90</v>
      </c>
      <c r="M17" s="15" t="s">
        <v>85</v>
      </c>
      <c r="N17" s="27"/>
      <c r="O17" s="27"/>
    </row>
    <row r="18">
      <c r="A18" s="19"/>
      <c r="B18" s="20" t="s">
        <v>128</v>
      </c>
      <c r="C18" s="21" t="s">
        <v>129</v>
      </c>
      <c r="D18" s="32">
        <v>6.0</v>
      </c>
      <c r="E18" s="26" t="s">
        <v>130</v>
      </c>
      <c r="F18" s="21" t="s">
        <v>131</v>
      </c>
      <c r="G18" s="21" t="s">
        <v>132</v>
      </c>
      <c r="H18" s="33">
        <v>6.0</v>
      </c>
      <c r="I18" s="23" t="s">
        <v>133</v>
      </c>
      <c r="J18" s="25">
        <v>2.0</v>
      </c>
      <c r="K18" s="25" t="s">
        <v>134</v>
      </c>
      <c r="L18" s="26">
        <f t="shared" si="1"/>
        <v>72</v>
      </c>
      <c r="M18" s="26" t="s">
        <v>85</v>
      </c>
      <c r="N18" s="27"/>
      <c r="O18" s="27"/>
    </row>
    <row r="19">
      <c r="A19" s="8" t="s">
        <v>135</v>
      </c>
      <c r="B19" s="9" t="s">
        <v>136</v>
      </c>
      <c r="C19" s="10" t="s">
        <v>137</v>
      </c>
      <c r="D19" s="11">
        <v>10.0</v>
      </c>
      <c r="E19" s="12" t="s">
        <v>138</v>
      </c>
      <c r="F19" s="10" t="s">
        <v>139</v>
      </c>
      <c r="G19" s="10" t="s">
        <v>140</v>
      </c>
      <c r="H19" s="13">
        <v>6.0</v>
      </c>
      <c r="I19" s="12" t="s">
        <v>141</v>
      </c>
      <c r="J19" s="14">
        <v>8.0</v>
      </c>
      <c r="K19" s="14" t="s">
        <v>142</v>
      </c>
      <c r="L19" s="15">
        <f t="shared" si="1"/>
        <v>480</v>
      </c>
      <c r="M19" s="15" t="s">
        <v>18</v>
      </c>
      <c r="N19" s="27"/>
      <c r="O19" s="27"/>
      <c r="P19" s="27"/>
    </row>
    <row r="20">
      <c r="A20" s="16"/>
      <c r="B20" s="9" t="s">
        <v>143</v>
      </c>
      <c r="C20" s="10" t="s">
        <v>144</v>
      </c>
      <c r="D20" s="17">
        <v>9.0</v>
      </c>
      <c r="E20" s="12" t="s">
        <v>145</v>
      </c>
      <c r="F20" s="10" t="s">
        <v>146</v>
      </c>
      <c r="G20" s="10" t="s">
        <v>147</v>
      </c>
      <c r="H20" s="18">
        <v>3.0</v>
      </c>
      <c r="I20" s="12" t="s">
        <v>148</v>
      </c>
      <c r="J20" s="14">
        <v>9.0</v>
      </c>
      <c r="K20" s="14" t="s">
        <v>149</v>
      </c>
      <c r="L20" s="15">
        <f t="shared" si="1"/>
        <v>243</v>
      </c>
      <c r="M20" s="15" t="s">
        <v>33</v>
      </c>
      <c r="N20" s="27"/>
      <c r="O20" s="27"/>
      <c r="P20" s="27"/>
    </row>
    <row r="21">
      <c r="A21" s="16"/>
      <c r="B21" s="9" t="s">
        <v>150</v>
      </c>
      <c r="C21" s="10" t="s">
        <v>151</v>
      </c>
      <c r="D21" s="30">
        <v>5.0</v>
      </c>
      <c r="E21" s="12" t="s">
        <v>152</v>
      </c>
      <c r="F21" s="10" t="s">
        <v>153</v>
      </c>
      <c r="G21" s="10" t="s">
        <v>154</v>
      </c>
      <c r="H21" s="31">
        <v>5.0</v>
      </c>
      <c r="I21" s="12" t="s">
        <v>155</v>
      </c>
      <c r="J21" s="14">
        <v>6.0</v>
      </c>
      <c r="K21" s="14" t="s">
        <v>156</v>
      </c>
      <c r="L21" s="15">
        <f t="shared" si="1"/>
        <v>150</v>
      </c>
      <c r="M21" s="15" t="s">
        <v>85</v>
      </c>
      <c r="N21" s="27"/>
      <c r="O21" s="27"/>
      <c r="P21" s="27"/>
    </row>
    <row r="22">
      <c r="A22" s="16"/>
      <c r="B22" s="9" t="s">
        <v>157</v>
      </c>
      <c r="C22" s="10" t="s">
        <v>158</v>
      </c>
      <c r="D22" s="11">
        <v>6.0</v>
      </c>
      <c r="E22" s="12" t="s">
        <v>159</v>
      </c>
      <c r="F22" s="10" t="s">
        <v>160</v>
      </c>
      <c r="G22" s="10" t="s">
        <v>161</v>
      </c>
      <c r="H22" s="13">
        <v>8.0</v>
      </c>
      <c r="I22" s="12" t="s">
        <v>162</v>
      </c>
      <c r="J22" s="14">
        <v>8.0</v>
      </c>
      <c r="K22" s="14" t="s">
        <v>163</v>
      </c>
      <c r="L22" s="15">
        <f t="shared" si="1"/>
        <v>384</v>
      </c>
      <c r="M22" s="15" t="s">
        <v>63</v>
      </c>
      <c r="N22" s="27"/>
      <c r="O22" s="27"/>
      <c r="P22" s="27"/>
    </row>
    <row r="23">
      <c r="A23" s="16"/>
      <c r="B23" s="9" t="s">
        <v>164</v>
      </c>
      <c r="C23" s="10" t="s">
        <v>165</v>
      </c>
      <c r="D23" s="30">
        <v>4.0</v>
      </c>
      <c r="E23" s="12" t="s">
        <v>166</v>
      </c>
      <c r="F23" s="10" t="s">
        <v>167</v>
      </c>
      <c r="G23" s="10" t="s">
        <v>168</v>
      </c>
      <c r="H23" s="31">
        <v>6.0</v>
      </c>
      <c r="I23" s="12" t="s">
        <v>169</v>
      </c>
      <c r="J23" s="14">
        <v>9.0</v>
      </c>
      <c r="K23" s="14" t="s">
        <v>170</v>
      </c>
      <c r="L23" s="15">
        <f t="shared" si="1"/>
        <v>216</v>
      </c>
      <c r="M23" s="15" t="s">
        <v>33</v>
      </c>
      <c r="N23" s="27"/>
      <c r="O23" s="27"/>
      <c r="P23" s="27"/>
    </row>
    <row r="24">
      <c r="A24" s="16"/>
      <c r="B24" s="9" t="s">
        <v>171</v>
      </c>
      <c r="C24" s="10" t="s">
        <v>172</v>
      </c>
      <c r="D24" s="11">
        <v>7.0</v>
      </c>
      <c r="E24" s="12" t="s">
        <v>173</v>
      </c>
      <c r="F24" s="10" t="s">
        <v>174</v>
      </c>
      <c r="G24" s="10" t="s">
        <v>175</v>
      </c>
      <c r="H24" s="13">
        <v>5.0</v>
      </c>
      <c r="I24" s="12" t="s">
        <v>176</v>
      </c>
      <c r="J24" s="14">
        <v>3.0</v>
      </c>
      <c r="K24" s="14" t="s">
        <v>177</v>
      </c>
      <c r="L24" s="15">
        <f t="shared" si="1"/>
        <v>105</v>
      </c>
      <c r="M24" s="15" t="s">
        <v>85</v>
      </c>
      <c r="N24" s="27"/>
      <c r="O24" s="27"/>
      <c r="P24" s="27"/>
    </row>
    <row r="25">
      <c r="A25" s="19"/>
      <c r="B25" s="20" t="s">
        <v>178</v>
      </c>
      <c r="C25" s="21" t="s">
        <v>179</v>
      </c>
      <c r="D25" s="22">
        <v>10.0</v>
      </c>
      <c r="E25" s="23" t="s">
        <v>180</v>
      </c>
      <c r="F25" s="21" t="s">
        <v>181</v>
      </c>
      <c r="G25" s="21" t="s">
        <v>182</v>
      </c>
      <c r="H25" s="24">
        <v>7.0</v>
      </c>
      <c r="I25" s="23" t="s">
        <v>183</v>
      </c>
      <c r="J25" s="25">
        <v>9.0</v>
      </c>
      <c r="K25" s="26" t="s">
        <v>184</v>
      </c>
      <c r="L25" s="34">
        <f t="shared" si="1"/>
        <v>630</v>
      </c>
      <c r="M25" s="26" t="s">
        <v>18</v>
      </c>
      <c r="N25" s="27"/>
      <c r="O25" s="27"/>
      <c r="P25" s="27"/>
    </row>
    <row r="26">
      <c r="A26" s="35" t="s">
        <v>185</v>
      </c>
      <c r="B26" s="9" t="s">
        <v>186</v>
      </c>
      <c r="C26" s="10" t="s">
        <v>187</v>
      </c>
      <c r="D26" s="11">
        <v>9.0</v>
      </c>
      <c r="E26" s="10" t="s">
        <v>188</v>
      </c>
      <c r="F26" s="10" t="s">
        <v>189</v>
      </c>
      <c r="G26" s="10" t="s">
        <v>190</v>
      </c>
      <c r="H26" s="13">
        <v>5.0</v>
      </c>
      <c r="I26" s="12" t="s">
        <v>191</v>
      </c>
      <c r="J26" s="14">
        <v>4.0</v>
      </c>
      <c r="K26" s="14" t="s">
        <v>192</v>
      </c>
      <c r="L26" s="15">
        <f t="shared" si="1"/>
        <v>180</v>
      </c>
      <c r="M26" s="10" t="s">
        <v>33</v>
      </c>
      <c r="N26" s="27"/>
      <c r="O26" s="27"/>
      <c r="P26" s="27"/>
    </row>
    <row r="27">
      <c r="B27" s="9" t="s">
        <v>193</v>
      </c>
      <c r="C27" s="10" t="s">
        <v>194</v>
      </c>
      <c r="D27" s="17">
        <v>7.0</v>
      </c>
      <c r="E27" s="10" t="s">
        <v>195</v>
      </c>
      <c r="F27" s="10" t="s">
        <v>196</v>
      </c>
      <c r="G27" s="10" t="s">
        <v>197</v>
      </c>
      <c r="H27" s="18">
        <v>5.0</v>
      </c>
      <c r="I27" s="12" t="s">
        <v>198</v>
      </c>
      <c r="J27" s="14">
        <v>4.0</v>
      </c>
      <c r="K27" s="14" t="s">
        <v>199</v>
      </c>
      <c r="L27" s="15">
        <f t="shared" si="1"/>
        <v>140</v>
      </c>
      <c r="M27" s="10" t="s">
        <v>85</v>
      </c>
      <c r="N27" s="27"/>
      <c r="O27" s="27"/>
      <c r="P27" s="27"/>
    </row>
    <row r="28">
      <c r="B28" s="9" t="s">
        <v>200</v>
      </c>
      <c r="C28" s="10" t="s">
        <v>201</v>
      </c>
      <c r="D28" s="11">
        <v>10.0</v>
      </c>
      <c r="E28" s="10" t="s">
        <v>202</v>
      </c>
      <c r="F28" s="10" t="s">
        <v>203</v>
      </c>
      <c r="G28" s="10" t="s">
        <v>204</v>
      </c>
      <c r="H28" s="13">
        <v>4.0</v>
      </c>
      <c r="I28" s="12" t="s">
        <v>205</v>
      </c>
      <c r="J28" s="14">
        <v>6.0</v>
      </c>
      <c r="K28" s="14" t="s">
        <v>206</v>
      </c>
      <c r="L28" s="15">
        <f t="shared" si="1"/>
        <v>240</v>
      </c>
      <c r="M28" s="10" t="s">
        <v>33</v>
      </c>
      <c r="N28" s="27"/>
      <c r="O28" s="27"/>
      <c r="P28" s="27"/>
    </row>
    <row r="29">
      <c r="B29" s="9" t="s">
        <v>207</v>
      </c>
      <c r="C29" s="10" t="s">
        <v>208</v>
      </c>
      <c r="D29" s="11">
        <v>8.0</v>
      </c>
      <c r="E29" s="10" t="s">
        <v>209</v>
      </c>
      <c r="F29" s="10" t="s">
        <v>210</v>
      </c>
      <c r="G29" s="10" t="s">
        <v>211</v>
      </c>
      <c r="H29" s="13">
        <v>6.0</v>
      </c>
      <c r="I29" s="12" t="s">
        <v>212</v>
      </c>
      <c r="J29" s="14">
        <v>3.0</v>
      </c>
      <c r="K29" s="14" t="s">
        <v>213</v>
      </c>
      <c r="L29" s="15">
        <f t="shared" si="1"/>
        <v>144</v>
      </c>
      <c r="M29" s="10" t="s">
        <v>214</v>
      </c>
      <c r="N29" s="27"/>
      <c r="O29" s="27"/>
      <c r="P29" s="27"/>
    </row>
    <row r="30">
      <c r="A30" s="36"/>
      <c r="B30" s="20" t="s">
        <v>215</v>
      </c>
      <c r="C30" s="21" t="s">
        <v>216</v>
      </c>
      <c r="D30" s="37">
        <v>6.0</v>
      </c>
      <c r="E30" s="21" t="s">
        <v>217</v>
      </c>
      <c r="F30" s="21" t="s">
        <v>218</v>
      </c>
      <c r="G30" s="21" t="s">
        <v>219</v>
      </c>
      <c r="H30" s="38">
        <v>4.0</v>
      </c>
      <c r="I30" s="23" t="s">
        <v>220</v>
      </c>
      <c r="J30" s="25">
        <v>7.0</v>
      </c>
      <c r="K30" s="26" t="s">
        <v>221</v>
      </c>
      <c r="L30" s="34">
        <f t="shared" si="1"/>
        <v>168</v>
      </c>
      <c r="M30" s="21" t="s">
        <v>33</v>
      </c>
      <c r="N30" s="27"/>
      <c r="O30" s="27"/>
      <c r="P30" s="27"/>
    </row>
    <row r="31">
      <c r="A31" s="35" t="s">
        <v>222</v>
      </c>
      <c r="B31" s="9" t="s">
        <v>223</v>
      </c>
      <c r="C31" s="10" t="s">
        <v>224</v>
      </c>
      <c r="D31" s="11">
        <v>7.0</v>
      </c>
      <c r="E31" s="10" t="s">
        <v>225</v>
      </c>
      <c r="F31" s="10" t="s">
        <v>226</v>
      </c>
      <c r="G31" s="10" t="s">
        <v>227</v>
      </c>
      <c r="H31" s="13">
        <v>9.0</v>
      </c>
      <c r="I31" s="12" t="s">
        <v>228</v>
      </c>
      <c r="J31" s="14">
        <v>2.0</v>
      </c>
      <c r="K31" s="14" t="s">
        <v>229</v>
      </c>
      <c r="L31" s="15">
        <f t="shared" si="1"/>
        <v>126</v>
      </c>
      <c r="M31" s="10" t="s">
        <v>85</v>
      </c>
      <c r="N31" s="27"/>
      <c r="O31" s="27"/>
      <c r="P31" s="27"/>
    </row>
    <row r="32">
      <c r="B32" s="9" t="s">
        <v>230</v>
      </c>
      <c r="C32" s="10" t="s">
        <v>231</v>
      </c>
      <c r="D32" s="11">
        <v>9.0</v>
      </c>
      <c r="E32" s="10" t="s">
        <v>232</v>
      </c>
      <c r="F32" s="10" t="s">
        <v>233</v>
      </c>
      <c r="G32" s="10" t="s">
        <v>234</v>
      </c>
      <c r="H32" s="13">
        <v>9.0</v>
      </c>
      <c r="I32" s="12" t="s">
        <v>235</v>
      </c>
      <c r="J32" s="14">
        <v>3.0</v>
      </c>
      <c r="K32" s="14" t="s">
        <v>236</v>
      </c>
      <c r="L32" s="15">
        <f t="shared" si="1"/>
        <v>243</v>
      </c>
      <c r="M32" s="10" t="s">
        <v>33</v>
      </c>
      <c r="N32" s="27"/>
      <c r="O32" s="27"/>
      <c r="P32" s="27"/>
    </row>
    <row r="33">
      <c r="B33" s="9" t="s">
        <v>237</v>
      </c>
      <c r="C33" s="10" t="s">
        <v>238</v>
      </c>
      <c r="D33" s="11">
        <v>6.0</v>
      </c>
      <c r="E33" s="10" t="s">
        <v>239</v>
      </c>
      <c r="F33" s="10" t="s">
        <v>240</v>
      </c>
      <c r="G33" s="10" t="s">
        <v>241</v>
      </c>
      <c r="H33" s="13">
        <v>8.0</v>
      </c>
      <c r="I33" s="12" t="s">
        <v>242</v>
      </c>
      <c r="J33" s="14">
        <v>4.0</v>
      </c>
      <c r="K33" s="14" t="s">
        <v>243</v>
      </c>
      <c r="L33" s="15">
        <f t="shared" si="1"/>
        <v>192</v>
      </c>
      <c r="M33" s="10" t="s">
        <v>33</v>
      </c>
      <c r="N33" s="27"/>
      <c r="O33" s="27"/>
      <c r="P33" s="27"/>
    </row>
    <row r="34">
      <c r="B34" s="9" t="s">
        <v>244</v>
      </c>
      <c r="C34" s="10" t="s">
        <v>245</v>
      </c>
      <c r="D34" s="17">
        <v>7.0</v>
      </c>
      <c r="E34" s="10" t="s">
        <v>246</v>
      </c>
      <c r="F34" s="10" t="s">
        <v>247</v>
      </c>
      <c r="G34" s="10" t="s">
        <v>248</v>
      </c>
      <c r="H34" s="18">
        <v>6.0</v>
      </c>
      <c r="I34" s="12" t="s">
        <v>249</v>
      </c>
      <c r="J34" s="14">
        <v>4.0</v>
      </c>
      <c r="K34" s="14" t="s">
        <v>250</v>
      </c>
      <c r="L34" s="15">
        <f t="shared" si="1"/>
        <v>168</v>
      </c>
      <c r="M34" s="10" t="s">
        <v>33</v>
      </c>
      <c r="N34" s="27"/>
      <c r="O34" s="27"/>
      <c r="P34" s="27"/>
    </row>
    <row r="35">
      <c r="B35" s="9" t="s">
        <v>251</v>
      </c>
      <c r="C35" s="10" t="s">
        <v>252</v>
      </c>
      <c r="D35" s="11">
        <v>7.0</v>
      </c>
      <c r="E35" s="10" t="s">
        <v>253</v>
      </c>
      <c r="F35" s="10" t="s">
        <v>254</v>
      </c>
      <c r="G35" s="10" t="s">
        <v>255</v>
      </c>
      <c r="H35" s="13">
        <v>8.0</v>
      </c>
      <c r="I35" s="12" t="s">
        <v>256</v>
      </c>
      <c r="J35" s="14">
        <v>4.0</v>
      </c>
      <c r="K35" s="14" t="s">
        <v>257</v>
      </c>
      <c r="L35" s="15">
        <f t="shared" si="1"/>
        <v>224</v>
      </c>
      <c r="M35" s="10" t="s">
        <v>33</v>
      </c>
      <c r="N35" s="27"/>
      <c r="O35" s="27"/>
      <c r="P35" s="27"/>
    </row>
    <row r="36">
      <c r="B36" s="9" t="s">
        <v>258</v>
      </c>
      <c r="C36" s="10" t="s">
        <v>259</v>
      </c>
      <c r="D36" s="11">
        <v>10.0</v>
      </c>
      <c r="E36" s="10" t="s">
        <v>260</v>
      </c>
      <c r="F36" s="10" t="s">
        <v>261</v>
      </c>
      <c r="G36" s="10" t="s">
        <v>262</v>
      </c>
      <c r="H36" s="13">
        <v>5.0</v>
      </c>
      <c r="I36" s="12" t="s">
        <v>263</v>
      </c>
      <c r="J36" s="14">
        <v>4.0</v>
      </c>
      <c r="K36" s="14" t="s">
        <v>264</v>
      </c>
      <c r="L36" s="15">
        <f t="shared" si="1"/>
        <v>200</v>
      </c>
      <c r="M36" s="10" t="s">
        <v>33</v>
      </c>
      <c r="N36" s="27"/>
      <c r="O36" s="27"/>
      <c r="P36" s="27"/>
    </row>
    <row r="37">
      <c r="B37" s="9" t="s">
        <v>265</v>
      </c>
      <c r="C37" s="10" t="s">
        <v>266</v>
      </c>
      <c r="D37" s="17">
        <v>9.0</v>
      </c>
      <c r="E37" s="10" t="s">
        <v>267</v>
      </c>
      <c r="F37" s="10" t="s">
        <v>268</v>
      </c>
      <c r="G37" s="10" t="s">
        <v>269</v>
      </c>
      <c r="H37" s="18">
        <v>4.0</v>
      </c>
      <c r="I37" s="12" t="s">
        <v>270</v>
      </c>
      <c r="J37" s="14">
        <v>5.0</v>
      </c>
      <c r="K37" s="14" t="s">
        <v>271</v>
      </c>
      <c r="L37" s="15">
        <f t="shared" si="1"/>
        <v>180</v>
      </c>
      <c r="M37" s="10" t="s">
        <v>33</v>
      </c>
      <c r="N37" s="27"/>
      <c r="O37" s="27"/>
      <c r="P37" s="27"/>
    </row>
    <row r="38">
      <c r="B38" s="9" t="s">
        <v>272</v>
      </c>
      <c r="C38" s="10" t="s">
        <v>273</v>
      </c>
      <c r="D38" s="17">
        <v>8.0</v>
      </c>
      <c r="E38" s="10" t="s">
        <v>274</v>
      </c>
      <c r="F38" s="10" t="s">
        <v>275</v>
      </c>
      <c r="G38" s="10" t="s">
        <v>276</v>
      </c>
      <c r="H38" s="18">
        <v>4.0</v>
      </c>
      <c r="I38" s="12" t="s">
        <v>270</v>
      </c>
      <c r="J38" s="14">
        <v>2.0</v>
      </c>
      <c r="K38" s="14" t="s">
        <v>277</v>
      </c>
      <c r="L38" s="15">
        <f t="shared" si="1"/>
        <v>64</v>
      </c>
      <c r="M38" s="10" t="s">
        <v>85</v>
      </c>
      <c r="N38" s="27"/>
      <c r="O38" s="27"/>
      <c r="P38" s="27"/>
    </row>
    <row r="39">
      <c r="B39" s="9" t="s">
        <v>278</v>
      </c>
      <c r="C39" s="10" t="s">
        <v>279</v>
      </c>
      <c r="D39" s="11">
        <v>8.0</v>
      </c>
      <c r="E39" s="10" t="s">
        <v>280</v>
      </c>
      <c r="F39" s="10" t="s">
        <v>281</v>
      </c>
      <c r="G39" s="10" t="s">
        <v>282</v>
      </c>
      <c r="H39" s="13">
        <v>8.0</v>
      </c>
      <c r="I39" s="12" t="s">
        <v>283</v>
      </c>
      <c r="J39" s="14">
        <v>6.0</v>
      </c>
      <c r="K39" s="14" t="s">
        <v>284</v>
      </c>
      <c r="L39" s="15">
        <f t="shared" si="1"/>
        <v>384</v>
      </c>
      <c r="M39" s="10" t="s">
        <v>18</v>
      </c>
      <c r="N39" s="27"/>
      <c r="O39" s="27"/>
      <c r="P39" s="27"/>
    </row>
    <row r="40">
      <c r="A40" s="36"/>
      <c r="B40" s="20" t="s">
        <v>285</v>
      </c>
      <c r="C40" s="21" t="s">
        <v>286</v>
      </c>
      <c r="D40" s="22">
        <v>10.0</v>
      </c>
      <c r="E40" s="21" t="s">
        <v>287</v>
      </c>
      <c r="F40" s="21" t="s">
        <v>288</v>
      </c>
      <c r="G40" s="21" t="s">
        <v>289</v>
      </c>
      <c r="H40" s="24">
        <v>7.0</v>
      </c>
      <c r="I40" s="23" t="s">
        <v>290</v>
      </c>
      <c r="J40" s="25">
        <v>9.0</v>
      </c>
      <c r="K40" s="25" t="s">
        <v>291</v>
      </c>
      <c r="L40" s="26">
        <f t="shared" si="1"/>
        <v>630</v>
      </c>
      <c r="M40" s="21" t="s">
        <v>63</v>
      </c>
      <c r="N40" s="27"/>
      <c r="O40" s="27"/>
      <c r="P40" s="27"/>
    </row>
    <row r="41">
      <c r="A41" s="35" t="s">
        <v>292</v>
      </c>
      <c r="B41" s="9" t="s">
        <v>293</v>
      </c>
      <c r="C41" s="10" t="s">
        <v>294</v>
      </c>
      <c r="D41" s="11">
        <v>10.0</v>
      </c>
      <c r="E41" s="10" t="s">
        <v>295</v>
      </c>
      <c r="F41" s="10" t="s">
        <v>296</v>
      </c>
      <c r="G41" s="10" t="s">
        <v>297</v>
      </c>
      <c r="H41" s="13">
        <v>8.0</v>
      </c>
      <c r="I41" s="12" t="s">
        <v>298</v>
      </c>
      <c r="J41" s="14">
        <v>5.0</v>
      </c>
      <c r="K41" s="14" t="s">
        <v>299</v>
      </c>
      <c r="L41" s="15">
        <f t="shared" si="1"/>
        <v>400</v>
      </c>
      <c r="M41" s="10" t="s">
        <v>63</v>
      </c>
      <c r="N41" s="27"/>
      <c r="O41" s="27"/>
      <c r="P41" s="27"/>
    </row>
    <row r="42">
      <c r="B42" s="9" t="s">
        <v>300</v>
      </c>
      <c r="C42" s="10" t="s">
        <v>301</v>
      </c>
      <c r="D42" s="28">
        <v>5.0</v>
      </c>
      <c r="E42" s="10" t="s">
        <v>302</v>
      </c>
      <c r="F42" s="10" t="s">
        <v>303</v>
      </c>
      <c r="G42" s="10" t="s">
        <v>304</v>
      </c>
      <c r="H42" s="29">
        <v>4.0</v>
      </c>
      <c r="I42" s="12" t="s">
        <v>305</v>
      </c>
      <c r="J42" s="14">
        <v>4.0</v>
      </c>
      <c r="K42" s="14" t="s">
        <v>306</v>
      </c>
      <c r="L42" s="15">
        <f t="shared" si="1"/>
        <v>80</v>
      </c>
      <c r="M42" s="39" t="s">
        <v>214</v>
      </c>
      <c r="N42" s="27"/>
      <c r="O42" s="27"/>
      <c r="P42" s="27"/>
    </row>
    <row r="43">
      <c r="B43" s="9" t="s">
        <v>307</v>
      </c>
      <c r="C43" s="10" t="s">
        <v>308</v>
      </c>
      <c r="D43" s="11">
        <v>8.0</v>
      </c>
      <c r="E43" s="10" t="s">
        <v>309</v>
      </c>
      <c r="F43" s="10" t="s">
        <v>310</v>
      </c>
      <c r="G43" s="10" t="s">
        <v>311</v>
      </c>
      <c r="H43" s="13">
        <v>6.0</v>
      </c>
      <c r="I43" s="12" t="s">
        <v>312</v>
      </c>
      <c r="J43" s="14">
        <v>5.0</v>
      </c>
      <c r="K43" s="14" t="s">
        <v>313</v>
      </c>
      <c r="L43" s="15">
        <f t="shared" si="1"/>
        <v>240</v>
      </c>
      <c r="M43" s="39" t="s">
        <v>33</v>
      </c>
      <c r="N43" s="27"/>
      <c r="O43" s="27"/>
      <c r="P43" s="27"/>
    </row>
    <row r="44">
      <c r="B44" s="9" t="s">
        <v>314</v>
      </c>
      <c r="C44" s="10" t="s">
        <v>315</v>
      </c>
      <c r="D44" s="17">
        <v>7.0</v>
      </c>
      <c r="E44" s="10" t="s">
        <v>316</v>
      </c>
      <c r="F44" s="10" t="s">
        <v>317</v>
      </c>
      <c r="G44" s="10" t="s">
        <v>318</v>
      </c>
      <c r="H44" s="18">
        <v>5.0</v>
      </c>
      <c r="I44" s="12" t="s">
        <v>319</v>
      </c>
      <c r="J44" s="14">
        <v>3.0</v>
      </c>
      <c r="K44" s="14" t="s">
        <v>320</v>
      </c>
      <c r="L44" s="15">
        <f t="shared" si="1"/>
        <v>105</v>
      </c>
      <c r="M44" s="39" t="s">
        <v>85</v>
      </c>
      <c r="N44" s="27"/>
      <c r="O44" s="27"/>
      <c r="P44" s="27"/>
    </row>
    <row r="45">
      <c r="A45" s="36"/>
      <c r="B45" s="20" t="s">
        <v>321</v>
      </c>
      <c r="C45" s="21" t="s">
        <v>322</v>
      </c>
      <c r="D45" s="22">
        <v>10.0</v>
      </c>
      <c r="E45" s="21" t="s">
        <v>323</v>
      </c>
      <c r="F45" s="21" t="s">
        <v>324</v>
      </c>
      <c r="G45" s="21" t="s">
        <v>325</v>
      </c>
      <c r="H45" s="24">
        <v>6.0</v>
      </c>
      <c r="I45" s="23" t="s">
        <v>326</v>
      </c>
      <c r="J45" s="25">
        <v>3.0</v>
      </c>
      <c r="K45" s="25" t="s">
        <v>327</v>
      </c>
      <c r="L45" s="26">
        <f t="shared" si="1"/>
        <v>180</v>
      </c>
      <c r="M45" s="40" t="s">
        <v>328</v>
      </c>
      <c r="N45" s="27"/>
      <c r="O45" s="27"/>
      <c r="P45" s="27"/>
    </row>
    <row r="46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8">
      <c r="A48" s="41"/>
    </row>
  </sheetData>
  <mergeCells count="9">
    <mergeCell ref="A31:A40"/>
    <mergeCell ref="A41:A45"/>
    <mergeCell ref="D1:E1"/>
    <mergeCell ref="H1:I1"/>
    <mergeCell ref="J1:K1"/>
    <mergeCell ref="A2:A7"/>
    <mergeCell ref="A8:A18"/>
    <mergeCell ref="A19:A25"/>
    <mergeCell ref="A26:A30"/>
  </mergeCells>
  <conditionalFormatting sqref="M1">
    <cfRule type="colorScale" priority="1">
      <colorScale>
        <cfvo type="min"/>
        <cfvo type="max"/>
        <color rgb="FFFFFFFF"/>
        <color rgb="FF57BB8A"/>
      </colorScale>
    </cfRule>
  </conditionalFormatting>
  <conditionalFormatting sqref="M1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3.88"/>
    <col customWidth="1" min="3" max="3" width="5.25"/>
    <col customWidth="1" min="4" max="4" width="10.38"/>
    <col customWidth="1" min="5" max="5" width="10.88"/>
    <col customWidth="1" min="6" max="6" width="10.13"/>
    <col customWidth="1" min="7" max="7" width="10.75"/>
    <col customWidth="1" min="8" max="8" width="9.88"/>
    <col customWidth="1" min="9" max="9" width="11.25"/>
    <col customWidth="1" min="10" max="10" width="10.0"/>
    <col customWidth="1" min="11" max="11" width="11.0"/>
    <col customWidth="1" min="12" max="12" width="10.5"/>
    <col customWidth="1" min="13" max="13" width="10.63"/>
    <col customWidth="1" min="14" max="14" width="4.13"/>
    <col customWidth="1" min="15" max="15" width="5.0"/>
    <col customWidth="1" min="16" max="16" width="16.75"/>
    <col customWidth="1" min="17" max="17" width="3.25"/>
    <col customWidth="1" min="18" max="18" width="5.13"/>
    <col customWidth="1" min="19" max="19" width="16.63"/>
    <col customWidth="1" min="20" max="20" width="3.38"/>
    <col customWidth="1" min="21" max="21" width="5.13"/>
    <col customWidth="1" min="22" max="22" width="16.75"/>
  </cols>
  <sheetData>
    <row r="2" ht="21.75" customHeight="1">
      <c r="D2" s="42" t="s">
        <v>329</v>
      </c>
      <c r="E2" s="43"/>
      <c r="F2" s="43"/>
      <c r="G2" s="43"/>
      <c r="H2" s="43"/>
      <c r="I2" s="43"/>
      <c r="J2" s="43"/>
      <c r="K2" s="43"/>
      <c r="L2" s="43"/>
      <c r="M2" s="5"/>
    </row>
    <row r="3">
      <c r="A3" s="44"/>
      <c r="B3" s="45" t="s">
        <v>330</v>
      </c>
      <c r="C3" s="46">
        <v>10.0</v>
      </c>
      <c r="D3" s="47"/>
      <c r="E3" s="48"/>
      <c r="F3" s="48"/>
      <c r="G3" s="49"/>
      <c r="H3" s="49"/>
      <c r="I3" s="49"/>
      <c r="J3" s="49"/>
      <c r="K3" s="49"/>
      <c r="L3" s="49"/>
      <c r="M3" s="49"/>
      <c r="O3" s="50" t="s">
        <v>331</v>
      </c>
      <c r="P3" s="51" t="s">
        <v>332</v>
      </c>
      <c r="R3" s="52" t="s">
        <v>333</v>
      </c>
      <c r="S3" s="53" t="s">
        <v>334</v>
      </c>
      <c r="U3" s="45" t="s">
        <v>335</v>
      </c>
      <c r="V3" s="54" t="s">
        <v>336</v>
      </c>
    </row>
    <row r="4">
      <c r="A4" s="44"/>
      <c r="B4" s="55"/>
      <c r="C4" s="46">
        <v>9.0</v>
      </c>
      <c r="D4" s="47"/>
      <c r="E4" s="47"/>
      <c r="F4" s="48"/>
      <c r="G4" s="48"/>
      <c r="H4" s="49"/>
      <c r="I4" s="49"/>
      <c r="J4" s="49"/>
      <c r="K4" s="49"/>
      <c r="L4" s="49"/>
      <c r="M4" s="49"/>
      <c r="O4" s="55"/>
      <c r="P4" s="51" t="s">
        <v>337</v>
      </c>
      <c r="R4" s="55"/>
      <c r="S4" s="53" t="s">
        <v>338</v>
      </c>
      <c r="U4" s="55"/>
      <c r="V4" s="54" t="s">
        <v>339</v>
      </c>
    </row>
    <row r="5">
      <c r="A5" s="44"/>
      <c r="B5" s="55"/>
      <c r="C5" s="46">
        <v>8.0</v>
      </c>
      <c r="D5" s="56"/>
      <c r="E5" s="47"/>
      <c r="F5" s="47"/>
      <c r="G5" s="48"/>
      <c r="H5" s="48"/>
      <c r="I5" s="49"/>
      <c r="J5" s="49"/>
      <c r="K5" s="49"/>
      <c r="L5" s="49"/>
      <c r="M5" s="49"/>
      <c r="O5" s="55"/>
      <c r="P5" s="51" t="s">
        <v>340</v>
      </c>
      <c r="R5" s="55"/>
      <c r="S5" s="53" t="s">
        <v>341</v>
      </c>
      <c r="U5" s="55"/>
      <c r="V5" s="54" t="s">
        <v>342</v>
      </c>
    </row>
    <row r="6">
      <c r="A6" s="44"/>
      <c r="B6" s="55"/>
      <c r="C6" s="46">
        <v>7.0</v>
      </c>
      <c r="D6" s="56"/>
      <c r="E6" s="56"/>
      <c r="F6" s="47"/>
      <c r="G6" s="47"/>
      <c r="H6" s="48"/>
      <c r="I6" s="48"/>
      <c r="J6" s="49"/>
      <c r="K6" s="49"/>
      <c r="L6" s="49"/>
      <c r="M6" s="49"/>
      <c r="O6" s="55"/>
      <c r="P6" s="51" t="s">
        <v>343</v>
      </c>
      <c r="R6" s="55"/>
      <c r="S6" s="53" t="s">
        <v>344</v>
      </c>
      <c r="U6" s="55"/>
      <c r="V6" s="54" t="s">
        <v>345</v>
      </c>
    </row>
    <row r="7">
      <c r="A7" s="44"/>
      <c r="B7" s="55"/>
      <c r="C7" s="46">
        <v>6.0</v>
      </c>
      <c r="D7" s="56"/>
      <c r="E7" s="56"/>
      <c r="F7" s="56"/>
      <c r="G7" s="47"/>
      <c r="H7" s="47"/>
      <c r="I7" s="48"/>
      <c r="J7" s="48"/>
      <c r="K7" s="49"/>
      <c r="L7" s="49"/>
      <c r="M7" s="49"/>
      <c r="O7" s="55"/>
      <c r="P7" s="51" t="s">
        <v>346</v>
      </c>
      <c r="R7" s="55"/>
      <c r="S7" s="53" t="s">
        <v>347</v>
      </c>
      <c r="U7" s="55"/>
      <c r="V7" s="54" t="s">
        <v>348</v>
      </c>
    </row>
    <row r="8">
      <c r="A8" s="44"/>
      <c r="B8" s="55"/>
      <c r="C8" s="46">
        <v>5.0</v>
      </c>
      <c r="D8" s="56"/>
      <c r="E8" s="56"/>
      <c r="F8" s="56"/>
      <c r="G8" s="56"/>
      <c r="H8" s="47"/>
      <c r="I8" s="47"/>
      <c r="J8" s="48"/>
      <c r="K8" s="48"/>
      <c r="L8" s="49"/>
      <c r="M8" s="49"/>
      <c r="O8" s="55"/>
      <c r="P8" s="51" t="s">
        <v>349</v>
      </c>
      <c r="R8" s="55"/>
      <c r="S8" s="53" t="s">
        <v>350</v>
      </c>
      <c r="U8" s="55"/>
      <c r="V8" s="54" t="s">
        <v>351</v>
      </c>
    </row>
    <row r="9">
      <c r="A9" s="44"/>
      <c r="B9" s="55"/>
      <c r="C9" s="46">
        <v>4.0</v>
      </c>
      <c r="D9" s="56"/>
      <c r="E9" s="56"/>
      <c r="F9" s="56"/>
      <c r="G9" s="56"/>
      <c r="H9" s="56"/>
      <c r="I9" s="47"/>
      <c r="J9" s="47"/>
      <c r="K9" s="48"/>
      <c r="L9" s="48"/>
      <c r="M9" s="49"/>
      <c r="O9" s="55"/>
      <c r="P9" s="51" t="s">
        <v>352</v>
      </c>
      <c r="R9" s="55"/>
      <c r="S9" s="53" t="s">
        <v>353</v>
      </c>
      <c r="U9" s="55"/>
      <c r="V9" s="54" t="s">
        <v>354</v>
      </c>
    </row>
    <row r="10">
      <c r="A10" s="44"/>
      <c r="B10" s="55"/>
      <c r="C10" s="46">
        <v>3.0</v>
      </c>
      <c r="D10" s="56"/>
      <c r="E10" s="56"/>
      <c r="F10" s="56"/>
      <c r="G10" s="56"/>
      <c r="H10" s="56"/>
      <c r="I10" s="56"/>
      <c r="J10" s="47"/>
      <c r="K10" s="47"/>
      <c r="L10" s="48"/>
      <c r="M10" s="48"/>
      <c r="O10" s="55"/>
      <c r="P10" s="51" t="s">
        <v>355</v>
      </c>
      <c r="R10" s="55"/>
      <c r="S10" s="53" t="s">
        <v>356</v>
      </c>
      <c r="U10" s="55"/>
      <c r="V10" s="54" t="s">
        <v>357</v>
      </c>
    </row>
    <row r="11">
      <c r="A11" s="44"/>
      <c r="B11" s="55"/>
      <c r="C11" s="46">
        <v>2.0</v>
      </c>
      <c r="D11" s="56"/>
      <c r="E11" s="56"/>
      <c r="F11" s="56"/>
      <c r="G11" s="56"/>
      <c r="H11" s="56"/>
      <c r="I11" s="56"/>
      <c r="J11" s="56"/>
      <c r="K11" s="47"/>
      <c r="L11" s="47"/>
      <c r="M11" s="48"/>
      <c r="O11" s="55"/>
      <c r="P11" s="51" t="s">
        <v>358</v>
      </c>
      <c r="R11" s="55"/>
      <c r="S11" s="53" t="s">
        <v>359</v>
      </c>
      <c r="U11" s="55"/>
      <c r="V11" s="54" t="s">
        <v>360</v>
      </c>
    </row>
    <row r="12">
      <c r="A12" s="44"/>
      <c r="B12" s="57"/>
      <c r="C12" s="46">
        <v>1.0</v>
      </c>
      <c r="D12" s="56"/>
      <c r="E12" s="56"/>
      <c r="F12" s="56"/>
      <c r="G12" s="56"/>
      <c r="H12" s="56"/>
      <c r="I12" s="56"/>
      <c r="J12" s="56"/>
      <c r="K12" s="56"/>
      <c r="L12" s="47"/>
      <c r="M12" s="47"/>
      <c r="O12" s="57"/>
      <c r="P12" s="51" t="s">
        <v>361</v>
      </c>
      <c r="R12" s="57"/>
      <c r="S12" s="58" t="s">
        <v>362</v>
      </c>
      <c r="U12" s="57"/>
      <c r="V12" s="59" t="s">
        <v>363</v>
      </c>
    </row>
    <row r="13">
      <c r="A13" s="44"/>
      <c r="B13" s="44"/>
      <c r="D13" s="60">
        <v>1.0</v>
      </c>
      <c r="E13" s="60">
        <v>2.0</v>
      </c>
      <c r="F13" s="60">
        <v>3.0</v>
      </c>
      <c r="G13" s="60">
        <v>4.0</v>
      </c>
      <c r="H13" s="60">
        <v>5.0</v>
      </c>
      <c r="I13" s="60">
        <v>6.0</v>
      </c>
      <c r="J13" s="60">
        <v>7.0</v>
      </c>
      <c r="K13" s="60">
        <v>8.0</v>
      </c>
      <c r="L13" s="60">
        <v>9.0</v>
      </c>
      <c r="M13" s="60">
        <v>10.0</v>
      </c>
    </row>
    <row r="14">
      <c r="A14" s="44"/>
      <c r="B14" s="44"/>
      <c r="C14" s="61"/>
      <c r="D14" s="62" t="s">
        <v>364</v>
      </c>
      <c r="E14" s="43"/>
      <c r="F14" s="43"/>
      <c r="G14" s="43"/>
      <c r="H14" s="43"/>
      <c r="I14" s="43"/>
      <c r="J14" s="43"/>
      <c r="K14" s="43"/>
      <c r="L14" s="43"/>
      <c r="M14" s="5"/>
      <c r="O14" s="63"/>
      <c r="P14" s="64"/>
    </row>
    <row r="15">
      <c r="O15" s="63"/>
      <c r="P15" s="64"/>
    </row>
    <row r="16">
      <c r="D16" s="56"/>
      <c r="E16" s="65" t="s">
        <v>365</v>
      </c>
      <c r="F16" s="43"/>
      <c r="G16" s="5"/>
      <c r="O16" s="63"/>
      <c r="P16" s="64"/>
    </row>
    <row r="17">
      <c r="D17" s="47"/>
      <c r="E17" s="65" t="s">
        <v>366</v>
      </c>
      <c r="F17" s="43"/>
      <c r="G17" s="5"/>
      <c r="O17" s="63"/>
      <c r="P17" s="64"/>
    </row>
    <row r="18">
      <c r="D18" s="48"/>
      <c r="E18" s="65" t="s">
        <v>367</v>
      </c>
      <c r="F18" s="43"/>
      <c r="G18" s="5"/>
      <c r="O18" s="63"/>
      <c r="P18" s="64"/>
    </row>
    <row r="19">
      <c r="D19" s="49"/>
      <c r="E19" s="62" t="s">
        <v>368</v>
      </c>
      <c r="F19" s="43"/>
      <c r="G19" s="5"/>
      <c r="O19" s="63"/>
    </row>
    <row r="20">
      <c r="O20" s="63"/>
      <c r="P20" s="64"/>
    </row>
    <row r="21">
      <c r="D21" s="66" t="s">
        <v>369</v>
      </c>
      <c r="E21" s="65" t="s">
        <v>370</v>
      </c>
      <c r="F21" s="5"/>
      <c r="O21" s="63"/>
      <c r="P21" s="64"/>
    </row>
    <row r="22">
      <c r="D22" s="67" t="s">
        <v>371</v>
      </c>
      <c r="E22" s="65" t="s">
        <v>372</v>
      </c>
      <c r="F22" s="5"/>
      <c r="O22" s="63"/>
      <c r="P22" s="64"/>
    </row>
    <row r="23">
      <c r="D23" s="68" t="s">
        <v>373</v>
      </c>
      <c r="E23" s="65" t="s">
        <v>374</v>
      </c>
      <c r="F23" s="5"/>
      <c r="O23" s="63"/>
      <c r="P23" s="69"/>
    </row>
  </sheetData>
  <mergeCells count="13">
    <mergeCell ref="E17:G17"/>
    <mergeCell ref="E18:G18"/>
    <mergeCell ref="E19:G19"/>
    <mergeCell ref="E21:F21"/>
    <mergeCell ref="E22:F22"/>
    <mergeCell ref="E23:F23"/>
    <mergeCell ref="D2:M2"/>
    <mergeCell ref="B3:B12"/>
    <mergeCell ref="O3:O12"/>
    <mergeCell ref="R3:R12"/>
    <mergeCell ref="U3:U12"/>
    <mergeCell ref="D14:M14"/>
    <mergeCell ref="E16:G1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16.25"/>
    <col customWidth="1" min="3" max="3" width="42.5"/>
    <col customWidth="1" min="4" max="4" width="6.88"/>
    <col customWidth="1" min="5" max="5" width="6.75"/>
    <col customWidth="1" min="6" max="6" width="6.88"/>
    <col customWidth="1" min="7" max="7" width="8.63"/>
    <col customWidth="1" min="8" max="8" width="12.0"/>
    <col customWidth="1" min="9" max="9" width="11.63"/>
  </cols>
  <sheetData>
    <row r="1">
      <c r="A1" s="70"/>
      <c r="B1" s="71"/>
      <c r="C1" s="71"/>
      <c r="D1" s="72"/>
      <c r="E1" s="72"/>
      <c r="F1" s="72"/>
      <c r="G1" s="72"/>
      <c r="H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>
      <c r="A2" s="70"/>
      <c r="B2" s="74" t="s">
        <v>0</v>
      </c>
      <c r="C2" s="74" t="s">
        <v>1</v>
      </c>
      <c r="D2" s="75" t="s">
        <v>375</v>
      </c>
      <c r="E2" s="75" t="s">
        <v>376</v>
      </c>
      <c r="F2" s="75" t="s">
        <v>377</v>
      </c>
      <c r="G2" s="75" t="s">
        <v>8</v>
      </c>
      <c r="H2" s="75" t="s">
        <v>9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6"/>
    </row>
    <row r="3">
      <c r="A3" s="77"/>
      <c r="B3" s="78" t="s">
        <v>378</v>
      </c>
      <c r="C3" s="79" t="s">
        <v>11</v>
      </c>
      <c r="D3" s="80">
        <v>10.0</v>
      </c>
      <c r="E3" s="80">
        <v>7.0</v>
      </c>
      <c r="F3" s="81">
        <v>9.0</v>
      </c>
      <c r="G3" s="82">
        <f t="shared" ref="G3:G13" si="1">D3*E3*F3</f>
        <v>630</v>
      </c>
      <c r="H3" s="83" t="s">
        <v>18</v>
      </c>
    </row>
    <row r="4">
      <c r="A4" s="77"/>
      <c r="B4" s="84" t="s">
        <v>379</v>
      </c>
      <c r="C4" s="85" t="s">
        <v>380</v>
      </c>
      <c r="D4" s="86">
        <v>10.0</v>
      </c>
      <c r="E4" s="86">
        <v>7.0</v>
      </c>
      <c r="F4" s="86">
        <v>9.0</v>
      </c>
      <c r="G4" s="87">
        <f t="shared" si="1"/>
        <v>630</v>
      </c>
      <c r="H4" s="88" t="s">
        <v>63</v>
      </c>
    </row>
    <row r="5">
      <c r="A5" s="77"/>
      <c r="B5" s="84" t="s">
        <v>381</v>
      </c>
      <c r="C5" s="85" t="s">
        <v>382</v>
      </c>
      <c r="D5" s="86">
        <v>10.0</v>
      </c>
      <c r="E5" s="86">
        <v>7.0</v>
      </c>
      <c r="F5" s="86">
        <v>9.0</v>
      </c>
      <c r="G5" s="87">
        <f t="shared" si="1"/>
        <v>630</v>
      </c>
      <c r="H5" s="88" t="s">
        <v>18</v>
      </c>
    </row>
    <row r="6">
      <c r="A6" s="77"/>
      <c r="B6" s="84" t="s">
        <v>383</v>
      </c>
      <c r="C6" s="86" t="s">
        <v>136</v>
      </c>
      <c r="D6" s="86">
        <v>10.0</v>
      </c>
      <c r="E6" s="86">
        <v>6.0</v>
      </c>
      <c r="F6" s="86">
        <v>8.0</v>
      </c>
      <c r="G6" s="87">
        <f t="shared" si="1"/>
        <v>480</v>
      </c>
      <c r="H6" s="88" t="s">
        <v>18</v>
      </c>
    </row>
    <row r="7">
      <c r="A7" s="77"/>
      <c r="B7" s="84" t="s">
        <v>384</v>
      </c>
      <c r="C7" s="86" t="s">
        <v>293</v>
      </c>
      <c r="D7" s="86">
        <v>10.0</v>
      </c>
      <c r="E7" s="86">
        <v>8.0</v>
      </c>
      <c r="F7" s="86">
        <v>5.0</v>
      </c>
      <c r="G7" s="87">
        <f t="shared" si="1"/>
        <v>400</v>
      </c>
      <c r="H7" s="88" t="s">
        <v>63</v>
      </c>
    </row>
    <row r="8">
      <c r="A8" s="77"/>
      <c r="B8" s="84" t="s">
        <v>385</v>
      </c>
      <c r="C8" s="35" t="s">
        <v>71</v>
      </c>
      <c r="D8" s="89">
        <v>10.0</v>
      </c>
      <c r="E8" s="89">
        <v>8.0</v>
      </c>
      <c r="F8" s="90">
        <v>5.0</v>
      </c>
      <c r="G8" s="91">
        <f t="shared" si="1"/>
        <v>400</v>
      </c>
      <c r="H8" s="92" t="s">
        <v>18</v>
      </c>
    </row>
    <row r="9">
      <c r="A9" s="77"/>
      <c r="B9" s="84" t="s">
        <v>379</v>
      </c>
      <c r="C9" s="86" t="s">
        <v>48</v>
      </c>
      <c r="D9" s="86">
        <v>8.0</v>
      </c>
      <c r="E9" s="86">
        <v>6.0</v>
      </c>
      <c r="F9" s="86">
        <v>8.0</v>
      </c>
      <c r="G9" s="87">
        <f t="shared" si="1"/>
        <v>384</v>
      </c>
      <c r="H9" s="88" t="s">
        <v>18</v>
      </c>
    </row>
    <row r="10">
      <c r="A10" s="77"/>
      <c r="B10" s="84" t="s">
        <v>381</v>
      </c>
      <c r="C10" s="86" t="s">
        <v>157</v>
      </c>
      <c r="D10" s="86">
        <v>6.0</v>
      </c>
      <c r="E10" s="86">
        <v>8.0</v>
      </c>
      <c r="F10" s="86">
        <v>8.0</v>
      </c>
      <c r="G10" s="87">
        <f t="shared" si="1"/>
        <v>384</v>
      </c>
      <c r="H10" s="88" t="s">
        <v>63</v>
      </c>
    </row>
    <row r="11">
      <c r="A11" s="77"/>
      <c r="B11" s="84" t="s">
        <v>386</v>
      </c>
      <c r="C11" s="86" t="s">
        <v>278</v>
      </c>
      <c r="D11" s="86">
        <v>8.0</v>
      </c>
      <c r="E11" s="86">
        <v>8.0</v>
      </c>
      <c r="F11" s="86">
        <v>6.0</v>
      </c>
      <c r="G11" s="87">
        <f t="shared" si="1"/>
        <v>384</v>
      </c>
      <c r="H11" s="88" t="s">
        <v>18</v>
      </c>
    </row>
    <row r="12">
      <c r="A12" s="77"/>
      <c r="B12" s="84" t="s">
        <v>379</v>
      </c>
      <c r="C12" s="86" t="s">
        <v>19</v>
      </c>
      <c r="D12" s="86">
        <v>10.0</v>
      </c>
      <c r="E12" s="86">
        <v>4.0</v>
      </c>
      <c r="F12" s="86">
        <v>8.0</v>
      </c>
      <c r="G12" s="87">
        <f t="shared" si="1"/>
        <v>320</v>
      </c>
      <c r="H12" s="88" t="s">
        <v>18</v>
      </c>
    </row>
    <row r="13">
      <c r="A13" s="77"/>
      <c r="B13" s="84" t="s">
        <v>385</v>
      </c>
      <c r="C13" s="35" t="s">
        <v>56</v>
      </c>
      <c r="D13" s="89">
        <v>10.0</v>
      </c>
      <c r="E13" s="89">
        <v>4.0</v>
      </c>
      <c r="F13" s="90">
        <v>8.0</v>
      </c>
      <c r="G13" s="91">
        <f t="shared" si="1"/>
        <v>320</v>
      </c>
      <c r="H13" s="92" t="s">
        <v>63</v>
      </c>
    </row>
    <row r="14">
      <c r="A14" s="77"/>
      <c r="B14" s="93"/>
      <c r="C14" s="94"/>
      <c r="D14" s="94"/>
      <c r="E14" s="94"/>
      <c r="F14" s="94"/>
      <c r="G14" s="94"/>
      <c r="H14" s="94"/>
    </row>
    <row r="15">
      <c r="A15" s="70"/>
      <c r="B15" s="74"/>
      <c r="C15" s="74" t="s">
        <v>1</v>
      </c>
      <c r="D15" s="75" t="s">
        <v>375</v>
      </c>
      <c r="E15" s="75" t="s">
        <v>376</v>
      </c>
      <c r="F15" s="75" t="s">
        <v>377</v>
      </c>
      <c r="G15" s="75"/>
      <c r="H15" s="75" t="s">
        <v>9</v>
      </c>
    </row>
    <row r="16">
      <c r="A16" s="77"/>
      <c r="B16" s="84" t="s">
        <v>379</v>
      </c>
      <c r="C16" s="85" t="s">
        <v>387</v>
      </c>
      <c r="D16" s="86">
        <v>7.0</v>
      </c>
      <c r="E16" s="86">
        <v>8.0</v>
      </c>
      <c r="F16" s="86">
        <v>5.0</v>
      </c>
      <c r="G16" s="95">
        <f t="shared" ref="G16:G34" si="2">D16*E16*F16</f>
        <v>280</v>
      </c>
      <c r="H16" s="88" t="s">
        <v>33</v>
      </c>
    </row>
    <row r="17">
      <c r="A17" s="77"/>
      <c r="B17" s="84" t="s">
        <v>385</v>
      </c>
      <c r="C17" s="86" t="s">
        <v>107</v>
      </c>
      <c r="D17" s="86">
        <v>9.0</v>
      </c>
      <c r="E17" s="86">
        <v>6.0</v>
      </c>
      <c r="F17" s="86">
        <v>5.0</v>
      </c>
      <c r="G17" s="95">
        <f t="shared" si="2"/>
        <v>270</v>
      </c>
      <c r="H17" s="88" t="s">
        <v>33</v>
      </c>
    </row>
    <row r="18">
      <c r="A18" s="77"/>
      <c r="B18" s="84" t="s">
        <v>379</v>
      </c>
      <c r="C18" s="86" t="s">
        <v>41</v>
      </c>
      <c r="D18" s="86">
        <v>9.0</v>
      </c>
      <c r="E18" s="86">
        <v>4.0</v>
      </c>
      <c r="F18" s="86">
        <v>7.0</v>
      </c>
      <c r="G18" s="95">
        <f t="shared" si="2"/>
        <v>252</v>
      </c>
      <c r="H18" s="88" t="s">
        <v>33</v>
      </c>
    </row>
    <row r="19">
      <c r="A19" s="77"/>
      <c r="B19" s="84" t="s">
        <v>379</v>
      </c>
      <c r="C19" s="86" t="s">
        <v>34</v>
      </c>
      <c r="D19" s="86">
        <v>9.0</v>
      </c>
      <c r="E19" s="86">
        <v>3.0</v>
      </c>
      <c r="F19" s="86">
        <v>9.0</v>
      </c>
      <c r="G19" s="95">
        <f t="shared" si="2"/>
        <v>243</v>
      </c>
      <c r="H19" s="88" t="s">
        <v>33</v>
      </c>
    </row>
    <row r="20">
      <c r="A20" s="77"/>
      <c r="B20" s="84" t="s">
        <v>381</v>
      </c>
      <c r="C20" s="86" t="s">
        <v>143</v>
      </c>
      <c r="D20" s="86">
        <v>9.0</v>
      </c>
      <c r="E20" s="86">
        <v>3.0</v>
      </c>
      <c r="F20" s="86">
        <v>9.0</v>
      </c>
      <c r="G20" s="95">
        <f t="shared" si="2"/>
        <v>243</v>
      </c>
      <c r="H20" s="88" t="s">
        <v>33</v>
      </c>
    </row>
    <row r="21">
      <c r="A21" s="77"/>
      <c r="B21" s="84" t="s">
        <v>388</v>
      </c>
      <c r="C21" s="86" t="s">
        <v>230</v>
      </c>
      <c r="D21" s="86">
        <v>9.0</v>
      </c>
      <c r="E21" s="86">
        <v>9.0</v>
      </c>
      <c r="F21" s="86">
        <v>3.0</v>
      </c>
      <c r="G21" s="95">
        <f t="shared" si="2"/>
        <v>243</v>
      </c>
      <c r="H21" s="88" t="s">
        <v>33</v>
      </c>
    </row>
    <row r="22">
      <c r="A22" s="77"/>
      <c r="B22" s="84" t="s">
        <v>389</v>
      </c>
      <c r="C22" s="86" t="s">
        <v>200</v>
      </c>
      <c r="D22" s="86">
        <v>10.0</v>
      </c>
      <c r="E22" s="86">
        <v>4.0</v>
      </c>
      <c r="F22" s="86">
        <v>6.0</v>
      </c>
      <c r="G22" s="95">
        <f t="shared" si="2"/>
        <v>240</v>
      </c>
      <c r="H22" s="88" t="s">
        <v>33</v>
      </c>
    </row>
    <row r="23">
      <c r="A23" s="77"/>
      <c r="B23" s="84" t="s">
        <v>384</v>
      </c>
      <c r="C23" s="86" t="s">
        <v>307</v>
      </c>
      <c r="D23" s="86">
        <v>8.0</v>
      </c>
      <c r="E23" s="86">
        <v>6.0</v>
      </c>
      <c r="F23" s="86">
        <v>5.0</v>
      </c>
      <c r="G23" s="95">
        <f t="shared" si="2"/>
        <v>240</v>
      </c>
      <c r="H23" s="88" t="s">
        <v>33</v>
      </c>
    </row>
    <row r="24">
      <c r="A24" s="77"/>
      <c r="B24" s="84" t="s">
        <v>385</v>
      </c>
      <c r="C24" s="86" t="s">
        <v>100</v>
      </c>
      <c r="D24" s="86">
        <v>7.0</v>
      </c>
      <c r="E24" s="86">
        <v>8.0</v>
      </c>
      <c r="F24" s="86">
        <v>4.0</v>
      </c>
      <c r="G24" s="95">
        <f t="shared" si="2"/>
        <v>224</v>
      </c>
      <c r="H24" s="88" t="s">
        <v>33</v>
      </c>
    </row>
    <row r="25">
      <c r="A25" s="77"/>
      <c r="B25" s="84" t="s">
        <v>388</v>
      </c>
      <c r="C25" s="86" t="s">
        <v>251</v>
      </c>
      <c r="D25" s="86">
        <v>7.0</v>
      </c>
      <c r="E25" s="86">
        <v>8.0</v>
      </c>
      <c r="F25" s="86">
        <v>4.0</v>
      </c>
      <c r="G25" s="95">
        <f t="shared" si="2"/>
        <v>224</v>
      </c>
      <c r="H25" s="88" t="s">
        <v>33</v>
      </c>
    </row>
    <row r="26">
      <c r="A26" s="77"/>
      <c r="B26" s="84" t="s">
        <v>381</v>
      </c>
      <c r="C26" s="86" t="s">
        <v>164</v>
      </c>
      <c r="D26" s="86">
        <v>4.0</v>
      </c>
      <c r="E26" s="86">
        <v>6.0</v>
      </c>
      <c r="F26" s="86">
        <v>9.0</v>
      </c>
      <c r="G26" s="95">
        <f t="shared" si="2"/>
        <v>216</v>
      </c>
      <c r="H26" s="88" t="s">
        <v>33</v>
      </c>
    </row>
    <row r="27">
      <c r="A27" s="77"/>
      <c r="B27" s="84" t="s">
        <v>386</v>
      </c>
      <c r="C27" s="86" t="s">
        <v>258</v>
      </c>
      <c r="D27" s="86">
        <v>10.0</v>
      </c>
      <c r="E27" s="86">
        <v>5.0</v>
      </c>
      <c r="F27" s="86">
        <v>4.0</v>
      </c>
      <c r="G27" s="95">
        <f t="shared" si="2"/>
        <v>200</v>
      </c>
      <c r="H27" s="88" t="s">
        <v>33</v>
      </c>
    </row>
    <row r="28">
      <c r="A28" s="77"/>
      <c r="B28" s="84" t="s">
        <v>388</v>
      </c>
      <c r="C28" s="86" t="s">
        <v>237</v>
      </c>
      <c r="D28" s="86">
        <v>6.0</v>
      </c>
      <c r="E28" s="86">
        <v>8.0</v>
      </c>
      <c r="F28" s="86">
        <v>4.0</v>
      </c>
      <c r="G28" s="95">
        <f t="shared" si="2"/>
        <v>192</v>
      </c>
      <c r="H28" s="88" t="s">
        <v>33</v>
      </c>
    </row>
    <row r="29">
      <c r="A29" s="77"/>
      <c r="B29" s="84" t="s">
        <v>389</v>
      </c>
      <c r="C29" s="86" t="s">
        <v>186</v>
      </c>
      <c r="D29" s="86">
        <v>9.0</v>
      </c>
      <c r="E29" s="86">
        <v>5.0</v>
      </c>
      <c r="F29" s="86">
        <v>4.0</v>
      </c>
      <c r="G29" s="95">
        <f t="shared" si="2"/>
        <v>180</v>
      </c>
      <c r="H29" s="88" t="s">
        <v>33</v>
      </c>
    </row>
    <row r="30">
      <c r="A30" s="77"/>
      <c r="B30" s="84" t="s">
        <v>388</v>
      </c>
      <c r="C30" s="86" t="s">
        <v>265</v>
      </c>
      <c r="D30" s="86">
        <v>9.0</v>
      </c>
      <c r="E30" s="86">
        <v>4.0</v>
      </c>
      <c r="F30" s="86">
        <v>5.0</v>
      </c>
      <c r="G30" s="95">
        <f t="shared" si="2"/>
        <v>180</v>
      </c>
      <c r="H30" s="88" t="s">
        <v>33</v>
      </c>
    </row>
    <row r="31">
      <c r="A31" s="77"/>
      <c r="B31" s="84" t="s">
        <v>384</v>
      </c>
      <c r="C31" s="86" t="s">
        <v>321</v>
      </c>
      <c r="D31" s="86">
        <v>10.0</v>
      </c>
      <c r="E31" s="86">
        <v>6.0</v>
      </c>
      <c r="F31" s="86">
        <v>3.0</v>
      </c>
      <c r="G31" s="95">
        <f t="shared" si="2"/>
        <v>180</v>
      </c>
      <c r="H31" s="88" t="s">
        <v>328</v>
      </c>
    </row>
    <row r="32">
      <c r="A32" s="77"/>
      <c r="B32" s="84" t="s">
        <v>389</v>
      </c>
      <c r="C32" s="86" t="s">
        <v>215</v>
      </c>
      <c r="D32" s="86">
        <v>6.0</v>
      </c>
      <c r="E32" s="86">
        <v>4.0</v>
      </c>
      <c r="F32" s="86">
        <v>7.0</v>
      </c>
      <c r="G32" s="95">
        <f t="shared" si="2"/>
        <v>168</v>
      </c>
      <c r="H32" s="88" t="s">
        <v>33</v>
      </c>
    </row>
    <row r="33">
      <c r="A33" s="77"/>
      <c r="B33" s="84" t="s">
        <v>388</v>
      </c>
      <c r="C33" s="86" t="s">
        <v>244</v>
      </c>
      <c r="D33" s="86">
        <v>7.0</v>
      </c>
      <c r="E33" s="86">
        <v>6.0</v>
      </c>
      <c r="F33" s="86">
        <v>4.0</v>
      </c>
      <c r="G33" s="95">
        <f t="shared" si="2"/>
        <v>168</v>
      </c>
      <c r="H33" s="88" t="s">
        <v>33</v>
      </c>
    </row>
    <row r="34">
      <c r="A34" s="77"/>
      <c r="B34" s="84" t="s">
        <v>385</v>
      </c>
      <c r="C34" s="86" t="s">
        <v>64</v>
      </c>
      <c r="D34" s="86">
        <v>9.0</v>
      </c>
      <c r="E34" s="86">
        <v>6.0</v>
      </c>
      <c r="F34" s="86">
        <v>3.0</v>
      </c>
      <c r="G34" s="95">
        <f t="shared" si="2"/>
        <v>162</v>
      </c>
      <c r="H34" s="88" t="s">
        <v>33</v>
      </c>
    </row>
    <row r="35">
      <c r="A35" s="77"/>
      <c r="B35" s="93"/>
      <c r="C35" s="94"/>
      <c r="D35" s="94"/>
      <c r="E35" s="94"/>
      <c r="F35" s="94"/>
      <c r="G35" s="94"/>
      <c r="H35" s="94"/>
    </row>
    <row r="36">
      <c r="A36" s="70"/>
      <c r="B36" s="74"/>
      <c r="C36" s="74" t="s">
        <v>1</v>
      </c>
      <c r="D36" s="75" t="s">
        <v>375</v>
      </c>
      <c r="E36" s="75" t="s">
        <v>376</v>
      </c>
      <c r="F36" s="75" t="s">
        <v>377</v>
      </c>
      <c r="G36" s="75"/>
      <c r="H36" s="75" t="s">
        <v>9</v>
      </c>
    </row>
    <row r="37">
      <c r="A37" s="77"/>
      <c r="B37" s="84" t="s">
        <v>381</v>
      </c>
      <c r="C37" s="86" t="s">
        <v>150</v>
      </c>
      <c r="D37" s="86">
        <v>5.0</v>
      </c>
      <c r="E37" s="86">
        <v>5.0</v>
      </c>
      <c r="F37" s="86">
        <v>6.0</v>
      </c>
      <c r="G37" s="96">
        <f t="shared" ref="G37:G50" si="3">D37*E37*F37</f>
        <v>150</v>
      </c>
      <c r="H37" s="88" t="s">
        <v>85</v>
      </c>
    </row>
    <row r="38">
      <c r="A38" s="77"/>
      <c r="B38" s="84" t="s">
        <v>385</v>
      </c>
      <c r="C38" s="86" t="s">
        <v>86</v>
      </c>
      <c r="D38" s="86">
        <v>9.0</v>
      </c>
      <c r="E38" s="86">
        <v>4.0</v>
      </c>
      <c r="F38" s="86">
        <v>4.0</v>
      </c>
      <c r="G38" s="96">
        <f t="shared" si="3"/>
        <v>144</v>
      </c>
      <c r="H38" s="88" t="s">
        <v>85</v>
      </c>
    </row>
    <row r="39">
      <c r="A39" s="77"/>
      <c r="B39" s="84" t="s">
        <v>389</v>
      </c>
      <c r="C39" s="86" t="s">
        <v>207</v>
      </c>
      <c r="D39" s="86">
        <v>8.0</v>
      </c>
      <c r="E39" s="86">
        <v>6.0</v>
      </c>
      <c r="F39" s="86">
        <v>3.0</v>
      </c>
      <c r="G39" s="96">
        <f t="shared" si="3"/>
        <v>144</v>
      </c>
      <c r="H39" s="88" t="s">
        <v>214</v>
      </c>
    </row>
    <row r="40">
      <c r="A40" s="77"/>
      <c r="B40" s="84" t="s">
        <v>389</v>
      </c>
      <c r="C40" s="86" t="s">
        <v>193</v>
      </c>
      <c r="D40" s="86">
        <v>7.0</v>
      </c>
      <c r="E40" s="86">
        <v>5.0</v>
      </c>
      <c r="F40" s="86">
        <v>4.0</v>
      </c>
      <c r="G40" s="96">
        <f t="shared" si="3"/>
        <v>140</v>
      </c>
      <c r="H40" s="88" t="s">
        <v>85</v>
      </c>
    </row>
    <row r="41">
      <c r="A41" s="77"/>
      <c r="B41" s="84" t="s">
        <v>388</v>
      </c>
      <c r="C41" s="86" t="s">
        <v>223</v>
      </c>
      <c r="D41" s="86">
        <v>7.0</v>
      </c>
      <c r="E41" s="86">
        <v>9.0</v>
      </c>
      <c r="F41" s="86">
        <v>2.0</v>
      </c>
      <c r="G41" s="96">
        <f t="shared" si="3"/>
        <v>126</v>
      </c>
      <c r="H41" s="88" t="s">
        <v>85</v>
      </c>
    </row>
    <row r="42">
      <c r="A42" s="77"/>
      <c r="B42" s="84" t="s">
        <v>385</v>
      </c>
      <c r="C42" s="86" t="s">
        <v>93</v>
      </c>
      <c r="D42" s="86">
        <v>4.0</v>
      </c>
      <c r="E42" s="86">
        <v>6.0</v>
      </c>
      <c r="F42" s="86">
        <v>5.0</v>
      </c>
      <c r="G42" s="96">
        <f t="shared" si="3"/>
        <v>120</v>
      </c>
      <c r="H42" s="88" t="s">
        <v>85</v>
      </c>
    </row>
    <row r="43">
      <c r="A43" s="77"/>
      <c r="B43" s="84" t="s">
        <v>381</v>
      </c>
      <c r="C43" s="86" t="s">
        <v>171</v>
      </c>
      <c r="D43" s="86">
        <v>7.0</v>
      </c>
      <c r="E43" s="86">
        <v>5.0</v>
      </c>
      <c r="F43" s="86">
        <v>3.0</v>
      </c>
      <c r="G43" s="96">
        <f t="shared" si="3"/>
        <v>105</v>
      </c>
      <c r="H43" s="88" t="s">
        <v>85</v>
      </c>
    </row>
    <row r="44">
      <c r="A44" s="77"/>
      <c r="B44" s="84" t="s">
        <v>384</v>
      </c>
      <c r="C44" s="86" t="s">
        <v>314</v>
      </c>
      <c r="D44" s="86">
        <v>7.0</v>
      </c>
      <c r="E44" s="86">
        <v>5.0</v>
      </c>
      <c r="F44" s="86">
        <v>3.0</v>
      </c>
      <c r="G44" s="96">
        <f t="shared" si="3"/>
        <v>105</v>
      </c>
      <c r="H44" s="88" t="s">
        <v>85</v>
      </c>
    </row>
    <row r="45">
      <c r="A45" s="77"/>
      <c r="B45" s="84" t="s">
        <v>385</v>
      </c>
      <c r="C45" s="86" t="s">
        <v>114</v>
      </c>
      <c r="D45" s="86">
        <v>5.0</v>
      </c>
      <c r="E45" s="86">
        <v>6.0</v>
      </c>
      <c r="F45" s="86">
        <v>3.0</v>
      </c>
      <c r="G45" s="96">
        <f t="shared" si="3"/>
        <v>90</v>
      </c>
      <c r="H45" s="88" t="s">
        <v>85</v>
      </c>
    </row>
    <row r="46">
      <c r="A46" s="77"/>
      <c r="B46" s="84" t="s">
        <v>385</v>
      </c>
      <c r="C46" s="86" t="s">
        <v>121</v>
      </c>
      <c r="D46" s="86">
        <v>6.0</v>
      </c>
      <c r="E46" s="86">
        <v>5.0</v>
      </c>
      <c r="F46" s="86">
        <v>3.0</v>
      </c>
      <c r="G46" s="96">
        <f t="shared" si="3"/>
        <v>90</v>
      </c>
      <c r="H46" s="88" t="s">
        <v>85</v>
      </c>
    </row>
    <row r="47">
      <c r="A47" s="77"/>
      <c r="B47" s="84" t="s">
        <v>384</v>
      </c>
      <c r="C47" s="35" t="s">
        <v>300</v>
      </c>
      <c r="D47" s="89">
        <v>5.0</v>
      </c>
      <c r="E47" s="89">
        <v>4.0</v>
      </c>
      <c r="F47" s="90">
        <v>4.0</v>
      </c>
      <c r="G47" s="97">
        <f t="shared" si="3"/>
        <v>80</v>
      </c>
      <c r="H47" s="98" t="s">
        <v>214</v>
      </c>
    </row>
    <row r="48">
      <c r="A48" s="77"/>
      <c r="B48" s="84" t="s">
        <v>385</v>
      </c>
      <c r="C48" s="86" t="s">
        <v>128</v>
      </c>
      <c r="D48" s="86">
        <v>6.0</v>
      </c>
      <c r="E48" s="86">
        <v>6.0</v>
      </c>
      <c r="F48" s="86">
        <v>2.0</v>
      </c>
      <c r="G48" s="96">
        <f t="shared" si="3"/>
        <v>72</v>
      </c>
      <c r="H48" s="88" t="s">
        <v>85</v>
      </c>
    </row>
    <row r="49">
      <c r="A49" s="77"/>
      <c r="B49" s="84" t="s">
        <v>388</v>
      </c>
      <c r="C49" s="86" t="s">
        <v>272</v>
      </c>
      <c r="D49" s="86">
        <v>8.0</v>
      </c>
      <c r="E49" s="86">
        <v>4.0</v>
      </c>
      <c r="F49" s="86">
        <v>2.0</v>
      </c>
      <c r="G49" s="96">
        <f t="shared" si="3"/>
        <v>64</v>
      </c>
      <c r="H49" s="88" t="s">
        <v>85</v>
      </c>
    </row>
    <row r="50">
      <c r="A50" s="77"/>
      <c r="B50" s="99" t="s">
        <v>385</v>
      </c>
      <c r="C50" s="100" t="s">
        <v>78</v>
      </c>
      <c r="D50" s="100">
        <v>4.0</v>
      </c>
      <c r="E50" s="100">
        <v>5.0</v>
      </c>
      <c r="F50" s="100">
        <v>3.0</v>
      </c>
      <c r="G50" s="101">
        <f t="shared" si="3"/>
        <v>60</v>
      </c>
      <c r="H50" s="102" t="s">
        <v>85</v>
      </c>
    </row>
  </sheetData>
  <conditionalFormatting sqref="H1:H2 J1:V2 H15 H36">
    <cfRule type="colorScale" priority="1">
      <colorScale>
        <cfvo type="min"/>
        <cfvo type="max"/>
        <color rgb="FFFFFFFF"/>
        <color rgb="FF57BB8A"/>
      </colorScale>
    </cfRule>
  </conditionalFormatting>
  <conditionalFormatting sqref="H1:H2 J1:V2 H15 H36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3" max="3" width="10.88"/>
    <col customWidth="1" min="5" max="5" width="9.0"/>
    <col customWidth="1" min="6" max="6" width="22.5"/>
    <col customWidth="1" min="7" max="7" width="23.13"/>
    <col customWidth="1" min="8" max="8" width="10.63"/>
    <col customWidth="1" min="9" max="9" width="9.5"/>
    <col customWidth="1" min="10" max="10" width="7.5"/>
    <col customWidth="1" min="11" max="11" width="10.88"/>
    <col customWidth="1" min="13" max="13" width="9.5"/>
    <col customWidth="1" min="15" max="15" width="6.13"/>
    <col customWidth="1" min="16" max="16" width="18.0"/>
  </cols>
  <sheetData>
    <row r="2" ht="27.75" customHeight="1">
      <c r="C2" s="103" t="s">
        <v>390</v>
      </c>
    </row>
    <row r="4">
      <c r="B4" s="1" t="s">
        <v>0</v>
      </c>
      <c r="C4" s="2" t="s">
        <v>1</v>
      </c>
      <c r="D4" s="3" t="s">
        <v>2</v>
      </c>
      <c r="E4" s="6" t="s">
        <v>331</v>
      </c>
      <c r="F4" s="3" t="s">
        <v>4</v>
      </c>
      <c r="G4" s="3" t="s">
        <v>5</v>
      </c>
      <c r="H4" s="6" t="s">
        <v>364</v>
      </c>
      <c r="I4" s="6" t="s">
        <v>335</v>
      </c>
      <c r="J4" s="6" t="s">
        <v>8</v>
      </c>
      <c r="K4" s="7" t="s">
        <v>9</v>
      </c>
      <c r="L4" s="104" t="s">
        <v>391</v>
      </c>
      <c r="M4" s="5"/>
      <c r="N4" s="104" t="s">
        <v>392</v>
      </c>
      <c r="O4" s="5"/>
      <c r="P4" s="105" t="s">
        <v>393</v>
      </c>
    </row>
    <row r="5" ht="64.5" customHeight="1">
      <c r="B5" s="45" t="s">
        <v>394</v>
      </c>
      <c r="C5" s="106" t="s">
        <v>11</v>
      </c>
      <c r="D5" s="10" t="s">
        <v>12</v>
      </c>
      <c r="E5" s="11">
        <v>10.0</v>
      </c>
      <c r="F5" s="10" t="s">
        <v>14</v>
      </c>
      <c r="G5" s="10" t="s">
        <v>15</v>
      </c>
      <c r="H5" s="13">
        <v>7.0</v>
      </c>
      <c r="I5" s="14">
        <v>9.0</v>
      </c>
      <c r="J5" s="15">
        <f t="shared" ref="J5:J10" si="1">E5*H5*I5</f>
        <v>630</v>
      </c>
      <c r="K5" s="15" t="s">
        <v>18</v>
      </c>
      <c r="L5" s="107" t="s">
        <v>395</v>
      </c>
      <c r="N5" s="108" t="s">
        <v>396</v>
      </c>
      <c r="O5" s="109"/>
      <c r="P5" s="110" t="s">
        <v>397</v>
      </c>
    </row>
    <row r="6" ht="69.0" customHeight="1">
      <c r="B6" s="55"/>
      <c r="C6" s="106" t="s">
        <v>19</v>
      </c>
      <c r="D6" s="10" t="s">
        <v>20</v>
      </c>
      <c r="E6" s="11">
        <v>10.0</v>
      </c>
      <c r="F6" s="10" t="s">
        <v>22</v>
      </c>
      <c r="G6" s="10" t="s">
        <v>23</v>
      </c>
      <c r="H6" s="13">
        <v>4.0</v>
      </c>
      <c r="I6" s="14">
        <v>8.0</v>
      </c>
      <c r="J6" s="15">
        <f t="shared" si="1"/>
        <v>320</v>
      </c>
      <c r="K6" s="15" t="s">
        <v>18</v>
      </c>
      <c r="L6" s="107" t="s">
        <v>398</v>
      </c>
      <c r="N6" s="108" t="s">
        <v>399</v>
      </c>
      <c r="O6" s="109"/>
      <c r="P6" s="110" t="s">
        <v>400</v>
      </c>
    </row>
    <row r="7">
      <c r="B7" s="55"/>
      <c r="C7" s="106" t="s">
        <v>41</v>
      </c>
      <c r="D7" s="10" t="s">
        <v>42</v>
      </c>
      <c r="E7" s="17">
        <v>9.0</v>
      </c>
      <c r="F7" s="10" t="s">
        <v>44</v>
      </c>
      <c r="G7" s="10" t="s">
        <v>45</v>
      </c>
      <c r="H7" s="18">
        <v>4.0</v>
      </c>
      <c r="I7" s="14">
        <v>7.0</v>
      </c>
      <c r="J7" s="15">
        <f t="shared" si="1"/>
        <v>252</v>
      </c>
      <c r="K7" s="15" t="s">
        <v>33</v>
      </c>
      <c r="L7" s="107" t="s">
        <v>401</v>
      </c>
      <c r="N7" s="108" t="s">
        <v>402</v>
      </c>
      <c r="O7" s="109"/>
      <c r="P7" s="110" t="s">
        <v>403</v>
      </c>
    </row>
    <row r="8" ht="63.75" customHeight="1">
      <c r="B8" s="57"/>
      <c r="C8" s="111" t="s">
        <v>48</v>
      </c>
      <c r="D8" s="21" t="s">
        <v>49</v>
      </c>
      <c r="E8" s="22">
        <v>8.0</v>
      </c>
      <c r="F8" s="21" t="s">
        <v>51</v>
      </c>
      <c r="G8" s="21" t="s">
        <v>52</v>
      </c>
      <c r="H8" s="24">
        <v>6.0</v>
      </c>
      <c r="I8" s="25">
        <v>8.0</v>
      </c>
      <c r="J8" s="26">
        <f t="shared" si="1"/>
        <v>384</v>
      </c>
      <c r="K8" s="26" t="s">
        <v>18</v>
      </c>
      <c r="L8" s="112" t="s">
        <v>404</v>
      </c>
      <c r="M8" s="36"/>
      <c r="N8" s="113" t="s">
        <v>405</v>
      </c>
      <c r="O8" s="114"/>
      <c r="P8" s="115" t="s">
        <v>406</v>
      </c>
    </row>
    <row r="9">
      <c r="B9" s="116" t="s">
        <v>55</v>
      </c>
      <c r="C9" s="106" t="s">
        <v>71</v>
      </c>
      <c r="D9" s="10" t="s">
        <v>72</v>
      </c>
      <c r="E9" s="11">
        <v>10.0</v>
      </c>
      <c r="F9" s="10" t="s">
        <v>74</v>
      </c>
      <c r="G9" s="10" t="s">
        <v>75</v>
      </c>
      <c r="H9" s="13">
        <v>8.0</v>
      </c>
      <c r="I9" s="14">
        <v>5.0</v>
      </c>
      <c r="J9" s="15">
        <f t="shared" si="1"/>
        <v>400</v>
      </c>
      <c r="K9" s="15" t="s">
        <v>18</v>
      </c>
      <c r="L9" s="107" t="s">
        <v>407</v>
      </c>
      <c r="M9" s="109"/>
      <c r="N9" s="107" t="s">
        <v>408</v>
      </c>
      <c r="O9" s="109"/>
      <c r="P9" s="110" t="s">
        <v>409</v>
      </c>
    </row>
    <row r="10">
      <c r="B10" s="57"/>
      <c r="C10" s="111" t="s">
        <v>78</v>
      </c>
      <c r="D10" s="21" t="s">
        <v>79</v>
      </c>
      <c r="E10" s="117">
        <v>4.0</v>
      </c>
      <c r="F10" s="21" t="s">
        <v>81</v>
      </c>
      <c r="G10" s="21" t="s">
        <v>82</v>
      </c>
      <c r="H10" s="118">
        <v>5.0</v>
      </c>
      <c r="I10" s="25">
        <v>3.0</v>
      </c>
      <c r="J10" s="26">
        <f t="shared" si="1"/>
        <v>60</v>
      </c>
      <c r="K10" s="26" t="s">
        <v>85</v>
      </c>
      <c r="L10" s="112" t="s">
        <v>410</v>
      </c>
      <c r="M10" s="114"/>
      <c r="N10" s="112" t="s">
        <v>411</v>
      </c>
      <c r="O10" s="114"/>
      <c r="P10" s="115" t="s">
        <v>412</v>
      </c>
    </row>
  </sheetData>
  <mergeCells count="17">
    <mergeCell ref="L6:M6"/>
    <mergeCell ref="L7:M7"/>
    <mergeCell ref="N7:O7"/>
    <mergeCell ref="L8:M8"/>
    <mergeCell ref="N8:O8"/>
    <mergeCell ref="L5:M5"/>
    <mergeCell ref="L9:M9"/>
    <mergeCell ref="N9:O9"/>
    <mergeCell ref="L10:M10"/>
    <mergeCell ref="N10:O10"/>
    <mergeCell ref="C2:M2"/>
    <mergeCell ref="L4:M4"/>
    <mergeCell ref="N4:O4"/>
    <mergeCell ref="B5:B8"/>
    <mergeCell ref="N5:O5"/>
    <mergeCell ref="N6:O6"/>
    <mergeCell ref="B9:B10"/>
  </mergeCells>
  <conditionalFormatting sqref="K4">
    <cfRule type="colorScale" priority="1">
      <colorScale>
        <cfvo type="min"/>
        <cfvo type="max"/>
        <color rgb="FFFFFFFF"/>
        <color rgb="FF57BB8A"/>
      </colorScale>
    </cfRule>
  </conditionalFormatting>
  <conditionalFormatting sqref="K4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